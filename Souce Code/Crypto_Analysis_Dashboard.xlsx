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hint\Downloads\Python_pract\"/>
    </mc:Choice>
  </mc:AlternateContent>
  <xr:revisionPtr revIDLastSave="0" documentId="13_ncr:1_{A374096D-5F52-433F-9240-6683B83A4326}" xr6:coauthVersionLast="47" xr6:coauthVersionMax="47" xr10:uidLastSave="{00000000-0000-0000-0000-000000000000}"/>
  <bookViews>
    <workbookView xWindow="-110" yWindow="-110" windowWidth="19420" windowHeight="11500" firstSheet="1" activeTab="3" xr2:uid="{00000000-000D-0000-FFFF-FFFF00000000}"/>
  </bookViews>
  <sheets>
    <sheet name="Raw_Data" sheetId="1" r:id="rId1"/>
    <sheet name="Cleaned_Data" sheetId="3" r:id="rId2"/>
    <sheet name="Pivot_Charts" sheetId="2" r:id="rId3"/>
    <sheet name="Dashboard" sheetId="5" r:id="rId4"/>
  </sheets>
  <definedNames>
    <definedName name="ExternalData_1" localSheetId="1" hidden="1">'Cleaned_Data'!$A$1:$H$188</definedName>
    <definedName name="Slicer_Price_Range">#N/A</definedName>
  </definedNames>
  <calcPr calcId="191029"/>
  <pivotCaches>
    <pivotCache cacheId="7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8" i="2" l="1"/>
  <c r="T36" i="2"/>
  <c r="Z6" i="2" l="1"/>
  <c r="Z7" i="2"/>
  <c r="Z8" i="2"/>
  <c r="Z9" i="2"/>
  <c r="Z5" i="2"/>
  <c r="Y6" i="2"/>
  <c r="Y7" i="2"/>
  <c r="Y8" i="2"/>
  <c r="Y9" i="2"/>
  <c r="Y5" i="2"/>
  <c r="AA3" i="2"/>
  <c r="Z10" i="2" l="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A2EF4C-6BFE-4D39-9CE4-97E3A7ED4BED}"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<sst xmlns="http://schemas.openxmlformats.org/spreadsheetml/2006/main" count="2263" uniqueCount="1273">
  <si>
    <t>Coin Name</t>
  </si>
  <si>
    <t>Symbol</t>
  </si>
  <si>
    <t>Price (USD)</t>
  </si>
  <si>
    <t>1h Change (%)</t>
  </si>
  <si>
    <t>Market Cap</t>
  </si>
  <si>
    <t>Volume (24h) USD</t>
  </si>
  <si>
    <t>Circulating Supply</t>
  </si>
  <si>
    <t>Bitcoin</t>
  </si>
  <si>
    <t>BTC</t>
  </si>
  <si>
    <t>$112,396.23</t>
  </si>
  <si>
    <t>0.68%</t>
  </si>
  <si>
    <t>$2,236,591,973,065</t>
  </si>
  <si>
    <t>$61,196,410,006</t>
  </si>
  <si>
    <t>19.91M</t>
  </si>
  <si>
    <t>Ethereum</t>
  </si>
  <si>
    <t>ETH</t>
  </si>
  <si>
    <t>$4,631.69</t>
  </si>
  <si>
    <t>0.43%</t>
  </si>
  <si>
    <t>$558,774,287,294</t>
  </si>
  <si>
    <t>$43,714,609,700</t>
  </si>
  <si>
    <t>120.7M</t>
  </si>
  <si>
    <t>XRP</t>
  </si>
  <si>
    <t>$3.02</t>
  </si>
  <si>
    <t>0.45%</t>
  </si>
  <si>
    <t>$179,761,935,139</t>
  </si>
  <si>
    <t>$6,447,508,710</t>
  </si>
  <si>
    <t>59.48B</t>
  </si>
  <si>
    <t>Tether</t>
  </si>
  <si>
    <t>USDT</t>
  </si>
  <si>
    <t>$1.00</t>
  </si>
  <si>
    <t>0.07%</t>
  </si>
  <si>
    <t>$167,211,922,205</t>
  </si>
  <si>
    <t>$117,252,093,277</t>
  </si>
  <si>
    <t>167.2B</t>
  </si>
  <si>
    <t>BNB</t>
  </si>
  <si>
    <t>$864.91</t>
  </si>
  <si>
    <t>0.24%</t>
  </si>
  <si>
    <t>$120,460,279,991</t>
  </si>
  <si>
    <t>$2,278,674,127</t>
  </si>
  <si>
    <t>139.28M</t>
  </si>
  <si>
    <t>Solana</t>
  </si>
  <si>
    <t>SOL</t>
  </si>
  <si>
    <t>$208.97</t>
  </si>
  <si>
    <t>0.78%</t>
  </si>
  <si>
    <t>$112,989,075,044</t>
  </si>
  <si>
    <t>$10,127,054,144</t>
  </si>
  <si>
    <t>540.67M</t>
  </si>
  <si>
    <t>USDC</t>
  </si>
  <si>
    <t>$0.9997</t>
  </si>
  <si>
    <t>0.06%</t>
  </si>
  <si>
    <t>$69,140,705,171</t>
  </si>
  <si>
    <t>$17,027,792,821</t>
  </si>
  <si>
    <t>69.15B</t>
  </si>
  <si>
    <t>Dogecoin</t>
  </si>
  <si>
    <t>DOGE</t>
  </si>
  <si>
    <t>$0.2217</t>
  </si>
  <si>
    <t>0.67%</t>
  </si>
  <si>
    <t>$33,418,883,909</t>
  </si>
  <si>
    <t>$1,961,967,012</t>
  </si>
  <si>
    <t>150.69B</t>
  </si>
  <si>
    <t>TRON</t>
  </si>
  <si>
    <t>TRX</t>
  </si>
  <si>
    <t>$0.3502</t>
  </si>
  <si>
    <t>0.10%</t>
  </si>
  <si>
    <t>$33,151,724,508</t>
  </si>
  <si>
    <t>$973,139,421</t>
  </si>
  <si>
    <t>94.66B</t>
  </si>
  <si>
    <t>Cardano</t>
  </si>
  <si>
    <t>ADA</t>
  </si>
  <si>
    <t>$0.8693</t>
  </si>
  <si>
    <t>0.32%</t>
  </si>
  <si>
    <t>$31,055,700,401</t>
  </si>
  <si>
    <t>$1,153,461,846</t>
  </si>
  <si>
    <t>35.72B</t>
  </si>
  <si>
    <t>Ripple USD</t>
  </si>
  <si>
    <t>RLUSD</t>
  </si>
  <si>
    <t>$0.9995</t>
  </si>
  <si>
    <t>0.01%</t>
  </si>
  <si>
    <t>$687,657,857</t>
  </si>
  <si>
    <t>$64,711,407</t>
  </si>
  <si>
    <t>687.95M</t>
  </si>
  <si>
    <t>Zcash</t>
  </si>
  <si>
    <t>ZEC</t>
  </si>
  <si>
    <t>$42.45</t>
  </si>
  <si>
    <t>0.80%</t>
  </si>
  <si>
    <t>$687,228,061</t>
  </si>
  <si>
    <t>$71,132,312</t>
  </si>
  <si>
    <t>16.18M</t>
  </si>
  <si>
    <t>AB</t>
  </si>
  <si>
    <t>$0.009181</t>
  </si>
  <si>
    <t>0.30%</t>
  </si>
  <si>
    <t>$683,949,558</t>
  </si>
  <si>
    <t>$29,038,108</t>
  </si>
  <si>
    <t>74.48B</t>
  </si>
  <si>
    <t>Pyth Network</t>
  </si>
  <si>
    <t>PYTH</t>
  </si>
  <si>
    <t>$0.1171</t>
  </si>
  <si>
    <t>0.52%</t>
  </si>
  <si>
    <t>$673,440,961</t>
  </si>
  <si>
    <t>$24,411,942</t>
  </si>
  <si>
    <t>5.74B</t>
  </si>
  <si>
    <t>BitTorrent [New]</t>
  </si>
  <si>
    <t>BTT</t>
  </si>
  <si>
    <t>$0.066662</t>
  </si>
  <si>
    <t>$656,968,217</t>
  </si>
  <si>
    <t>$29,706,225</t>
  </si>
  <si>
    <t>986.06T</t>
  </si>
  <si>
    <t>Flow</t>
  </si>
  <si>
    <t>FLOW</t>
  </si>
  <si>
    <t>$0.3909</t>
  </si>
  <si>
    <t>0.15%</t>
  </si>
  <si>
    <t>$626,962,319</t>
  </si>
  <si>
    <t>$21,684,159</t>
  </si>
  <si>
    <t>1.6B</t>
  </si>
  <si>
    <t>DeXe</t>
  </si>
  <si>
    <t>DEXE</t>
  </si>
  <si>
    <t>$7.42</t>
  </si>
  <si>
    <t>$621,864,440</t>
  </si>
  <si>
    <t>$7,491,105</t>
  </si>
  <si>
    <t>83.73M</t>
  </si>
  <si>
    <t>BUILDon</t>
  </si>
  <si>
    <t>B</t>
  </si>
  <si>
    <t>$0.5774</t>
  </si>
  <si>
    <t>0.11%</t>
  </si>
  <si>
    <t>$577,405,381</t>
  </si>
  <si>
    <t>$23,722,335</t>
  </si>
  <si>
    <t>1B</t>
  </si>
  <si>
    <t>Walrus</t>
  </si>
  <si>
    <t>WAL</t>
  </si>
  <si>
    <t>$0.4049</t>
  </si>
  <si>
    <t>0.33%</t>
  </si>
  <si>
    <t>$572,387,192</t>
  </si>
  <si>
    <t>$19,083,906</t>
  </si>
  <si>
    <t>1.41B</t>
  </si>
  <si>
    <t>Decentraland</t>
  </si>
  <si>
    <t>MANA</t>
  </si>
  <si>
    <t>$0.2882</t>
  </si>
  <si>
    <t>0.39%</t>
  </si>
  <si>
    <t>$567,782,071</t>
  </si>
  <si>
    <t>$27,296,450</t>
  </si>
  <si>
    <t>1.96B</t>
  </si>
  <si>
    <t>Fasttoken</t>
  </si>
  <si>
    <t>FTN</t>
  </si>
  <si>
    <t>$4.54</t>
  </si>
  <si>
    <t>0.04%</t>
  </si>
  <si>
    <t>$1,982,420,729</t>
  </si>
  <si>
    <t>$64,466,358</t>
  </si>
  <si>
    <t>436.26M</t>
  </si>
  <si>
    <t>Jupiter Perps LP</t>
  </si>
  <si>
    <t>JLP</t>
  </si>
  <si>
    <t>$5.48</t>
  </si>
  <si>
    <t>0.47%</t>
  </si>
  <si>
    <t>$1,955,931,785</t>
  </si>
  <si>
    <t>$26,985,300</t>
  </si>
  <si>
    <t>356.55M</t>
  </si>
  <si>
    <t>Falcon USD</t>
  </si>
  <si>
    <t>USDf</t>
  </si>
  <si>
    <t>0.02%</t>
  </si>
  <si>
    <t>$1,253,095,193</t>
  </si>
  <si>
    <t>$30,789,467</t>
  </si>
  <si>
    <t>1.25B</t>
  </si>
  <si>
    <t>Loaded Lions</t>
  </si>
  <si>
    <t>LION</t>
  </si>
  <si>
    <t>$0.02395</t>
  </si>
  <si>
    <t>0.22%</t>
  </si>
  <si>
    <t>$738,956,737</t>
  </si>
  <si>
    <t>$8,289,454</t>
  </si>
  <si>
    <t>30.84B</t>
  </si>
  <si>
    <t>Ondo US Dollar Yield</t>
  </si>
  <si>
    <t>USDY</t>
  </si>
  <si>
    <t>$1.10</t>
  </si>
  <si>
    <t>$691,597,867</t>
  </si>
  <si>
    <t>$1,338,625</t>
  </si>
  <si>
    <t>626.67M</t>
  </si>
  <si>
    <t>Usual USD</t>
  </si>
  <si>
    <t>USD0</t>
  </si>
  <si>
    <t>$0.9983</t>
  </si>
  <si>
    <t>0.00%</t>
  </si>
  <si>
    <t>$642,088,143</t>
  </si>
  <si>
    <t>$4,463,129</t>
  </si>
  <si>
    <t>643.12M</t>
  </si>
  <si>
    <t>Vision</t>
  </si>
  <si>
    <t>VSN</t>
  </si>
  <si>
    <t>$0.1745</t>
  </si>
  <si>
    <t>0.59%</t>
  </si>
  <si>
    <t>$607,020,903</t>
  </si>
  <si>
    <t>$1,377,265</t>
  </si>
  <si>
    <t>3.47B</t>
  </si>
  <si>
    <t>Beldex</t>
  </si>
  <si>
    <t>BDX</t>
  </si>
  <si>
    <t>$0.07629</t>
  </si>
  <si>
    <t>0.23%</t>
  </si>
  <si>
    <t>$545,355,889</t>
  </si>
  <si>
    <t>$4,396,792</t>
  </si>
  <si>
    <t>7.14B</t>
  </si>
  <si>
    <t>Global Dollar</t>
  </si>
  <si>
    <t>USDG</t>
  </si>
  <si>
    <t>$0.9998</t>
  </si>
  <si>
    <t>0.03%</t>
  </si>
  <si>
    <t>$538,269,461</t>
  </si>
  <si>
    <t>$5,715,956</t>
  </si>
  <si>
    <t>538.36M</t>
  </si>
  <si>
    <t>Zeebu</t>
  </si>
  <si>
    <t>ZBU</t>
  </si>
  <si>
    <t>$1.94</t>
  </si>
  <si>
    <t>0.16%</t>
  </si>
  <si>
    <t>$503,419,749</t>
  </si>
  <si>
    <t>$325,843</t>
  </si>
  <si>
    <t>258.97M</t>
  </si>
  <si>
    <t>WOO</t>
  </si>
  <si>
    <t>$0.07137</t>
  </si>
  <si>
    <t>$136,125,306</t>
  </si>
  <si>
    <t>$6,721,454</t>
  </si>
  <si>
    <t>1.9B</t>
  </si>
  <si>
    <t>Elixir deUSD</t>
  </si>
  <si>
    <t>DEUSD</t>
  </si>
  <si>
    <t>$132,578,463</t>
  </si>
  <si>
    <t>$343,471</t>
  </si>
  <si>
    <t>132.63M</t>
  </si>
  <si>
    <t>Yala</t>
  </si>
  <si>
    <t>YU</t>
  </si>
  <si>
    <t>$0.9996</t>
  </si>
  <si>
    <t>$131,915,058</t>
  </si>
  <si>
    <t>$1,092,882</t>
  </si>
  <si>
    <t>131.95M</t>
  </si>
  <si>
    <t>Polymesh</t>
  </si>
  <si>
    <t>POLYX</t>
  </si>
  <si>
    <t>$0.1332</t>
  </si>
  <si>
    <t>$131,880,666</t>
  </si>
  <si>
    <t>$2,531,201</t>
  </si>
  <si>
    <t>989.35M</t>
  </si>
  <si>
    <t>Aleo</t>
  </si>
  <si>
    <t>ALEO</t>
  </si>
  <si>
    <t>$0.2781</t>
  </si>
  <si>
    <t>1.31%</t>
  </si>
  <si>
    <t>$129,554,753</t>
  </si>
  <si>
    <t>$7,930,906</t>
  </si>
  <si>
    <t>465.83M</t>
  </si>
  <si>
    <t>AUSD</t>
  </si>
  <si>
    <t>$128,872,926</t>
  </si>
  <si>
    <t>$8,432,086</t>
  </si>
  <si>
    <t>128.9M</t>
  </si>
  <si>
    <t>Babylon</t>
  </si>
  <si>
    <t>BABY</t>
  </si>
  <si>
    <t>$0.04956</t>
  </si>
  <si>
    <t>0.50%</t>
  </si>
  <si>
    <t>$128,393,361</t>
  </si>
  <si>
    <t>$10,778,520</t>
  </si>
  <si>
    <t>2.59B</t>
  </si>
  <si>
    <t>Status</t>
  </si>
  <si>
    <t>SNT</t>
  </si>
  <si>
    <t>$0.02674</t>
  </si>
  <si>
    <t>0.05%</t>
  </si>
  <si>
    <t>$128,203,844</t>
  </si>
  <si>
    <t>$10,487,502</t>
  </si>
  <si>
    <t>4.79B</t>
  </si>
  <si>
    <t>Enjin Coin</t>
  </si>
  <si>
    <t>ENJ</t>
  </si>
  <si>
    <t>$0.06809</t>
  </si>
  <si>
    <t>$127,672,149</t>
  </si>
  <si>
    <t>$11,344,790</t>
  </si>
  <si>
    <t>1.87B</t>
  </si>
  <si>
    <t>Vana</t>
  </si>
  <si>
    <t>VANA</t>
  </si>
  <si>
    <t>$4.24</t>
  </si>
  <si>
    <t>0.19%</t>
  </si>
  <si>
    <t>$127,660,598</t>
  </si>
  <si>
    <t>$9,341,488</t>
  </si>
  <si>
    <t>30.08M</t>
  </si>
  <si>
    <t>Definitive</t>
  </si>
  <si>
    <t>EDGE</t>
  </si>
  <si>
    <t>$0.4326</t>
  </si>
  <si>
    <t>1.32%</t>
  </si>
  <si>
    <t>$87,828,987</t>
  </si>
  <si>
    <t>$9,141,404</t>
  </si>
  <si>
    <t>203.02M</t>
  </si>
  <si>
    <t>Apertum</t>
  </si>
  <si>
    <t>APTM</t>
  </si>
  <si>
    <t>$1.62</t>
  </si>
  <si>
    <t>$87,776,158</t>
  </si>
  <si>
    <t>$9,108,166</t>
  </si>
  <si>
    <t>54.05M</t>
  </si>
  <si>
    <t>Tokenlon Network Token</t>
  </si>
  <si>
    <t>LON</t>
  </si>
  <si>
    <t>$0.6995</t>
  </si>
  <si>
    <t>$86,786,092</t>
  </si>
  <si>
    <t>$24,699</t>
  </si>
  <si>
    <t>124.06M</t>
  </si>
  <si>
    <t>BIM</t>
  </si>
  <si>
    <t>$2.88</t>
  </si>
  <si>
    <t>0.13%</t>
  </si>
  <si>
    <t>$86,613,592</t>
  </si>
  <si>
    <t>$295,825</t>
  </si>
  <si>
    <t>30M</t>
  </si>
  <si>
    <t>Ardor</t>
  </si>
  <si>
    <t>ARDR</t>
  </si>
  <si>
    <t>$0.08647</t>
  </si>
  <si>
    <t>$86,345,798</t>
  </si>
  <si>
    <t>$4,522,686</t>
  </si>
  <si>
    <t>998.46M</t>
  </si>
  <si>
    <t>Audius</t>
  </si>
  <si>
    <t>AUDIO</t>
  </si>
  <si>
    <t>$0.06401</t>
  </si>
  <si>
    <t>$86,441,423</t>
  </si>
  <si>
    <t>$6,787,116</t>
  </si>
  <si>
    <t>1.35B</t>
  </si>
  <si>
    <t>Ark</t>
  </si>
  <si>
    <t>ARK</t>
  </si>
  <si>
    <t>$0.4504</t>
  </si>
  <si>
    <t>$85,996,731</t>
  </si>
  <si>
    <t>$4,342,188</t>
  </si>
  <si>
    <t>190.9M</t>
  </si>
  <si>
    <t>Goatseus Maximus</t>
  </si>
  <si>
    <t>GOAT</t>
  </si>
  <si>
    <t>$0.08568</t>
  </si>
  <si>
    <t>0.88%</t>
  </si>
  <si>
    <t>$85,680,579</t>
  </si>
  <si>
    <t>$14,947,172</t>
  </si>
  <si>
    <t>999.99M</t>
  </si>
  <si>
    <t>Comedian</t>
  </si>
  <si>
    <t>BAN</t>
  </si>
  <si>
    <t>$0.08543</t>
  </si>
  <si>
    <t>0.38%</t>
  </si>
  <si>
    <t>$85,436,011</t>
  </si>
  <si>
    <t>$10,238,715</t>
  </si>
  <si>
    <t>999.96M</t>
  </si>
  <si>
    <t>Wrapped ONUS</t>
  </si>
  <si>
    <t>WONUS</t>
  </si>
  <si>
    <t>$0.8861</t>
  </si>
  <si>
    <t>$84,791,103</t>
  </si>
  <si>
    <t>N/A</t>
  </si>
  <si>
    <t>95.68M</t>
  </si>
  <si>
    <t>Sophon</t>
  </si>
  <si>
    <t>SOPH</t>
  </si>
  <si>
    <t>$0.03141</t>
  </si>
  <si>
    <t>0.77%</t>
  </si>
  <si>
    <t>$62,836,837</t>
  </si>
  <si>
    <t>$13,787,251</t>
  </si>
  <si>
    <t>2B</t>
  </si>
  <si>
    <t>Metal DAO</t>
  </si>
  <si>
    <t>MTL</t>
  </si>
  <si>
    <t>$0.7292</t>
  </si>
  <si>
    <t>0.09%</t>
  </si>
  <si>
    <t>$62,825,935</t>
  </si>
  <si>
    <t>$1,249,114</t>
  </si>
  <si>
    <t>86.14M</t>
  </si>
  <si>
    <t>Celer Network</t>
  </si>
  <si>
    <t>CELR</t>
  </si>
  <si>
    <t>$0.008040</t>
  </si>
  <si>
    <t>$62,746,080</t>
  </si>
  <si>
    <t>$5,327,551</t>
  </si>
  <si>
    <t>7.8B</t>
  </si>
  <si>
    <t>ArchLoot</t>
  </si>
  <si>
    <t>AL</t>
  </si>
  <si>
    <t>$0.07982</t>
  </si>
  <si>
    <t>$62,547,790</t>
  </si>
  <si>
    <t>$9,047,350</t>
  </si>
  <si>
    <t>783.57M</t>
  </si>
  <si>
    <t>B3 (Base)</t>
  </si>
  <si>
    <t>B3</t>
  </si>
  <si>
    <t>$0.002927</t>
  </si>
  <si>
    <t>0.08%</t>
  </si>
  <si>
    <t>$62,328,087</t>
  </si>
  <si>
    <t>$2,058,149</t>
  </si>
  <si>
    <t>21.29B</t>
  </si>
  <si>
    <t>Tornado Cash</t>
  </si>
  <si>
    <t>TORN</t>
  </si>
  <si>
    <t>$11.79</t>
  </si>
  <si>
    <t>$62,064,898</t>
  </si>
  <si>
    <t>$76,515</t>
  </si>
  <si>
    <t>5.26M</t>
  </si>
  <si>
    <t>Polyhedra Network</t>
  </si>
  <si>
    <t>ZKJ</t>
  </si>
  <si>
    <t>$0.1816</t>
  </si>
  <si>
    <t>0.21%</t>
  </si>
  <si>
    <t>$61,786,840</t>
  </si>
  <si>
    <t>$8,267,657</t>
  </si>
  <si>
    <t>340.13M</t>
  </si>
  <si>
    <t>Bounce Token</t>
  </si>
  <si>
    <t>AUCTION</t>
  </si>
  <si>
    <t>$10.12</t>
  </si>
  <si>
    <t>$61,648,001</t>
  </si>
  <si>
    <t>$27,805,860</t>
  </si>
  <si>
    <t>6.09M</t>
  </si>
  <si>
    <t>Radix</t>
  </si>
  <si>
    <t>XRD</t>
  </si>
  <si>
    <t>$0.005210</t>
  </si>
  <si>
    <t>0.14%</t>
  </si>
  <si>
    <t>$61,619,476</t>
  </si>
  <si>
    <t>$213,098</t>
  </si>
  <si>
    <t>11.82B</t>
  </si>
  <si>
    <t>Gains Network</t>
  </si>
  <si>
    <t>GNS</t>
  </si>
  <si>
    <t>$2.17</t>
  </si>
  <si>
    <t>0.31%</t>
  </si>
  <si>
    <t>$61,481,343</t>
  </si>
  <si>
    <t>$2,564,140</t>
  </si>
  <si>
    <t>28.3M</t>
  </si>
  <si>
    <t>Quantum Resistant Ledger</t>
  </si>
  <si>
    <t>QRL</t>
  </si>
  <si>
    <t>$0.6727</t>
  </si>
  <si>
    <t>1.30%</t>
  </si>
  <si>
    <t>$45,704,968</t>
  </si>
  <si>
    <t>$35,491</t>
  </si>
  <si>
    <t>67.93M</t>
  </si>
  <si>
    <t>XYM</t>
  </si>
  <si>
    <t>$0.007354</t>
  </si>
  <si>
    <t>$45,421,680</t>
  </si>
  <si>
    <t>$758,766</t>
  </si>
  <si>
    <t>6.17B</t>
  </si>
  <si>
    <t>deBridge</t>
  </si>
  <si>
    <t>DBR</t>
  </si>
  <si>
    <t>$0.02359</t>
  </si>
  <si>
    <t>$45,403,740</t>
  </si>
  <si>
    <t>$10,853,972</t>
  </si>
  <si>
    <t>1.92B</t>
  </si>
  <si>
    <t>Origin Protocol</t>
  </si>
  <si>
    <t>OGN</t>
  </si>
  <si>
    <t>$0.06741</t>
  </si>
  <si>
    <t>1.19%</t>
  </si>
  <si>
    <t>$45,353,098</t>
  </si>
  <si>
    <t>$19,016,000</t>
  </si>
  <si>
    <t>672.7M</t>
  </si>
  <si>
    <t>Autonolas</t>
  </si>
  <si>
    <t>OLAS</t>
  </si>
  <si>
    <t>$0.2525</t>
  </si>
  <si>
    <t>$45,266,206</t>
  </si>
  <si>
    <t>$339,268</t>
  </si>
  <si>
    <t>179.2M</t>
  </si>
  <si>
    <t>Renzo</t>
  </si>
  <si>
    <t>REZ</t>
  </si>
  <si>
    <t>$0.01237</t>
  </si>
  <si>
    <t>$45,071,702</t>
  </si>
  <si>
    <t>$10,189,722</t>
  </si>
  <si>
    <t>3.64B</t>
  </si>
  <si>
    <t>PepeCoin</t>
  </si>
  <si>
    <t>PEPECOIN</t>
  </si>
  <si>
    <t>$0.4205</t>
  </si>
  <si>
    <t>$45,027,836</t>
  </si>
  <si>
    <t>$401,821</t>
  </si>
  <si>
    <t>107.05M</t>
  </si>
  <si>
    <t>Solend</t>
  </si>
  <si>
    <t>SLND</t>
  </si>
  <si>
    <t>$0.4502</t>
  </si>
  <si>
    <t>$44,873,234</t>
  </si>
  <si>
    <t>99.66M</t>
  </si>
  <si>
    <t>Vulcan Forged (PYR)</t>
  </si>
  <si>
    <t>PYR</t>
  </si>
  <si>
    <t>$1.01</t>
  </si>
  <si>
    <t>0.40%</t>
  </si>
  <si>
    <t>$44,872,405</t>
  </si>
  <si>
    <t>$10,068,683</t>
  </si>
  <si>
    <t>44.05M</t>
  </si>
  <si>
    <t>MetYa</t>
  </si>
  <si>
    <t>MET</t>
  </si>
  <si>
    <t>$0.2490</t>
  </si>
  <si>
    <t>$44,330,157</t>
  </si>
  <si>
    <t>$68,082,352</t>
  </si>
  <si>
    <t>177.96M</t>
  </si>
  <si>
    <t>MetFi</t>
  </si>
  <si>
    <t>METFI</t>
  </si>
  <si>
    <t>$0.1618</t>
  </si>
  <si>
    <t>$35,354,744</t>
  </si>
  <si>
    <t>$121,069</t>
  </si>
  <si>
    <t>218.43M</t>
  </si>
  <si>
    <t>YALA</t>
  </si>
  <si>
    <t>$0.1431</t>
  </si>
  <si>
    <t>0.79%</t>
  </si>
  <si>
    <t>$35,264,904</t>
  </si>
  <si>
    <t>$7,857,060</t>
  </si>
  <si>
    <t>246.36M</t>
  </si>
  <si>
    <t>Metadium</t>
  </si>
  <si>
    <t>META</t>
  </si>
  <si>
    <t>$0.02046</t>
  </si>
  <si>
    <t>0.12%</t>
  </si>
  <si>
    <t>$35,141,644</t>
  </si>
  <si>
    <t>$129,282</t>
  </si>
  <si>
    <t>1.71B</t>
  </si>
  <si>
    <t>Acala Token</t>
  </si>
  <si>
    <t>ACA</t>
  </si>
  <si>
    <t>$0.03011</t>
  </si>
  <si>
    <t>0.25%</t>
  </si>
  <si>
    <t>$35,138,416</t>
  </si>
  <si>
    <t>$5,538,677</t>
  </si>
  <si>
    <t>1.16B</t>
  </si>
  <si>
    <t>XION</t>
  </si>
  <si>
    <t>$0.8987</t>
  </si>
  <si>
    <t>0.90%</t>
  </si>
  <si>
    <t>$35,080,411</t>
  </si>
  <si>
    <t>$9,778,739</t>
  </si>
  <si>
    <t>39.03M</t>
  </si>
  <si>
    <t>Roam</t>
  </si>
  <si>
    <t>ROAM</t>
  </si>
  <si>
    <t>$0.1125</t>
  </si>
  <si>
    <t>0.66%</t>
  </si>
  <si>
    <t>$35,034,139</t>
  </si>
  <si>
    <t>$50,371,789</t>
  </si>
  <si>
    <t>311.3M</t>
  </si>
  <si>
    <t>Fuel Network</t>
  </si>
  <si>
    <t>FUEL</t>
  </si>
  <si>
    <t>$0.006097</t>
  </si>
  <si>
    <t>$34,972,612</t>
  </si>
  <si>
    <t>$1,391,859</t>
  </si>
  <si>
    <t>5.73B</t>
  </si>
  <si>
    <t>Ampleforth</t>
  </si>
  <si>
    <t>AMPL</t>
  </si>
  <si>
    <t>$1.23</t>
  </si>
  <si>
    <t>$34,798,359</t>
  </si>
  <si>
    <t>$75,600</t>
  </si>
  <si>
    <t>28.27M</t>
  </si>
  <si>
    <t>ARPA</t>
  </si>
  <si>
    <t>$0.02275</t>
  </si>
  <si>
    <t>$34,575,104</t>
  </si>
  <si>
    <t>$18,844,509</t>
  </si>
  <si>
    <t>1.51B</t>
  </si>
  <si>
    <t>Fair and Free</t>
  </si>
  <si>
    <t>FAIR3</t>
  </si>
  <si>
    <t>$0.03687</t>
  </si>
  <si>
    <t>0.72%</t>
  </si>
  <si>
    <t>$34,508,739</t>
  </si>
  <si>
    <t>$8,324,722</t>
  </si>
  <si>
    <t>935.81M</t>
  </si>
  <si>
    <t>XPLA</t>
  </si>
  <si>
    <t>$0.03186</t>
  </si>
  <si>
    <t>2.16%</t>
  </si>
  <si>
    <t>$26,070,319</t>
  </si>
  <si>
    <t>$467,706</t>
  </si>
  <si>
    <t>818.17M</t>
  </si>
  <si>
    <t>PlatON</t>
  </si>
  <si>
    <t>LAT</t>
  </si>
  <si>
    <t>$0.003897</t>
  </si>
  <si>
    <t>1.59%</t>
  </si>
  <si>
    <t>$26,014,561</t>
  </si>
  <si>
    <t>$6,727,701</t>
  </si>
  <si>
    <t>6.67B</t>
  </si>
  <si>
    <t>dYdX (ethDYDX)</t>
  </si>
  <si>
    <t>ETHDYDX</t>
  </si>
  <si>
    <t>$0.6222</t>
  </si>
  <si>
    <t>$25,922,954</t>
  </si>
  <si>
    <t>$9,982,050</t>
  </si>
  <si>
    <t>41.65M</t>
  </si>
  <si>
    <t>Build On BNB</t>
  </si>
  <si>
    <t>BOB</t>
  </si>
  <si>
    <t>$0.076150</t>
  </si>
  <si>
    <t>0.37%</t>
  </si>
  <si>
    <t>$25,873,467</t>
  </si>
  <si>
    <t>$11,510,400</t>
  </si>
  <si>
    <t>420.69T</t>
  </si>
  <si>
    <t>CLV</t>
  </si>
  <si>
    <t>$0.02106</t>
  </si>
  <si>
    <t>$25,788,064</t>
  </si>
  <si>
    <t>$1,225,263</t>
  </si>
  <si>
    <t>1.22B</t>
  </si>
  <si>
    <t>Kekius Maximus (kekiusmaximus.vip)</t>
  </si>
  <si>
    <t>KEKIUS</t>
  </si>
  <si>
    <t>$0.02575</t>
  </si>
  <si>
    <t>1.09%</t>
  </si>
  <si>
    <t>$25,759,341</t>
  </si>
  <si>
    <t>$2,642,277</t>
  </si>
  <si>
    <t>Alkimi</t>
  </si>
  <si>
    <t>ADS</t>
  </si>
  <si>
    <t>$0.1085</t>
  </si>
  <si>
    <t>$25,730,460</t>
  </si>
  <si>
    <t>$64,349</t>
  </si>
  <si>
    <t>236.99M</t>
  </si>
  <si>
    <t>CreatorBid</t>
  </si>
  <si>
    <t>BID</t>
  </si>
  <si>
    <t>$0.09556</t>
  </si>
  <si>
    <t>0.92%</t>
  </si>
  <si>
    <t>$25,696,932</t>
  </si>
  <si>
    <t>$1,704,625</t>
  </si>
  <si>
    <t>268.88M</t>
  </si>
  <si>
    <t>Moby</t>
  </si>
  <si>
    <t>MOBY</t>
  </si>
  <si>
    <t>$0.02550</t>
  </si>
  <si>
    <t>$25,507,544</t>
  </si>
  <si>
    <t>$5,524,554</t>
  </si>
  <si>
    <t>999.97M</t>
  </si>
  <si>
    <t>Agoras: Tau Net</t>
  </si>
  <si>
    <t>AGRS</t>
  </si>
  <si>
    <t>$0.8529</t>
  </si>
  <si>
    <t>$25,471,481</t>
  </si>
  <si>
    <t>$43,405</t>
  </si>
  <si>
    <t>29.86M</t>
  </si>
  <si>
    <t>ZUSD</t>
  </si>
  <si>
    <t>$0.9988</t>
  </si>
  <si>
    <t>$18,990,853</t>
  </si>
  <si>
    <t>$228,239</t>
  </si>
  <si>
    <t>19.01M</t>
  </si>
  <si>
    <t>Cross The Ages</t>
  </si>
  <si>
    <t>CTA</t>
  </si>
  <si>
    <t>$0.03792</t>
  </si>
  <si>
    <t>$18,961,083</t>
  </si>
  <si>
    <t>$706,323</t>
  </si>
  <si>
    <t>500M</t>
  </si>
  <si>
    <t>Amaterasu Omikami</t>
  </si>
  <si>
    <t>OMIKAMI</t>
  </si>
  <si>
    <t>$0.02001</t>
  </si>
  <si>
    <t>$18,957,669</t>
  </si>
  <si>
    <t>$357,326</t>
  </si>
  <si>
    <t>946.97M</t>
  </si>
  <si>
    <t>OLAXBT</t>
  </si>
  <si>
    <t>AIO</t>
  </si>
  <si>
    <t>$0.08172</t>
  </si>
  <si>
    <t>$18,817,231</t>
  </si>
  <si>
    <t>$5,622,803</t>
  </si>
  <si>
    <t>230.25M</t>
  </si>
  <si>
    <t>Games for a Living</t>
  </si>
  <si>
    <t>GFAL</t>
  </si>
  <si>
    <t>$0.005502</t>
  </si>
  <si>
    <t>1.06%</t>
  </si>
  <si>
    <t>$18,668,308</t>
  </si>
  <si>
    <t>$181,555</t>
  </si>
  <si>
    <t>3.39B</t>
  </si>
  <si>
    <t>Magpie</t>
  </si>
  <si>
    <t>MGP</t>
  </si>
  <si>
    <t>$0.03889</t>
  </si>
  <si>
    <t>$18,667,205</t>
  </si>
  <si>
    <t>$1,002</t>
  </si>
  <si>
    <t>479.99M</t>
  </si>
  <si>
    <t>Everscale</t>
  </si>
  <si>
    <t>EVER</t>
  </si>
  <si>
    <t>$0.009370</t>
  </si>
  <si>
    <t>$18,606,007</t>
  </si>
  <si>
    <t>$189,918</t>
  </si>
  <si>
    <t>1.98B</t>
  </si>
  <si>
    <t>Bulla</t>
  </si>
  <si>
    <t>BULLA</t>
  </si>
  <si>
    <t>$0.06639</t>
  </si>
  <si>
    <t>$18,591,856</t>
  </si>
  <si>
    <t>$4,765,140</t>
  </si>
  <si>
    <t>280M</t>
  </si>
  <si>
    <t>SIX Token</t>
  </si>
  <si>
    <t>SIX</t>
  </si>
  <si>
    <t>$0.02178</t>
  </si>
  <si>
    <t>$18,540,898</t>
  </si>
  <si>
    <t>$4,492,892</t>
  </si>
  <si>
    <t>850.96M</t>
  </si>
  <si>
    <t>AIHub</t>
  </si>
  <si>
    <t>AIH</t>
  </si>
  <si>
    <t>$16.85</t>
  </si>
  <si>
    <t>$18,536,240</t>
  </si>
  <si>
    <t>$119,734</t>
  </si>
  <si>
    <t>1.1M</t>
  </si>
  <si>
    <t>NodeOps</t>
  </si>
  <si>
    <t>NODE</t>
  </si>
  <si>
    <t>$0.1108</t>
  </si>
  <si>
    <t>1.04%</t>
  </si>
  <si>
    <t>$14,785,022</t>
  </si>
  <si>
    <t>$32,485,149</t>
  </si>
  <si>
    <t>133.39M</t>
  </si>
  <si>
    <t>GYEN</t>
  </si>
  <si>
    <t>$0.007013</t>
  </si>
  <si>
    <t>0.46%</t>
  </si>
  <si>
    <t>$14,719,301</t>
  </si>
  <si>
    <t>$138</t>
  </si>
  <si>
    <t>2.09B</t>
  </si>
  <si>
    <t>Rezor</t>
  </si>
  <si>
    <t>RZR</t>
  </si>
  <si>
    <t>$0.0003612</t>
  </si>
  <si>
    <t>$14,681,529</t>
  </si>
  <si>
    <t>$499,518</t>
  </si>
  <si>
    <t>40.64B</t>
  </si>
  <si>
    <t>Jerry The Turtle By Matt Furie</t>
  </si>
  <si>
    <t>JYAI</t>
  </si>
  <si>
    <t>$0.0002118</t>
  </si>
  <si>
    <t>$14,616,635</t>
  </si>
  <si>
    <t>$6,112,676</t>
  </si>
  <si>
    <t>69B</t>
  </si>
  <si>
    <t>pSTAKE Finance</t>
  </si>
  <si>
    <t>PSTAKE</t>
  </si>
  <si>
    <t>$0.03322</t>
  </si>
  <si>
    <t>$14,606,826</t>
  </si>
  <si>
    <t>$4,251,361</t>
  </si>
  <si>
    <t>439.65M</t>
  </si>
  <si>
    <t>Suku</t>
  </si>
  <si>
    <t>SUKU</t>
  </si>
  <si>
    <t>$0.02987</t>
  </si>
  <si>
    <t>$14,570,562</t>
  </si>
  <si>
    <t>$316,134</t>
  </si>
  <si>
    <t>487.69M</t>
  </si>
  <si>
    <t>Vita Inu</t>
  </si>
  <si>
    <t>VINU</t>
  </si>
  <si>
    <t>$0.071613</t>
  </si>
  <si>
    <t>0.41%</t>
  </si>
  <si>
    <t>$14,516,193</t>
  </si>
  <si>
    <t>$542,805</t>
  </si>
  <si>
    <t>899.59T</t>
  </si>
  <si>
    <t>Hosico</t>
  </si>
  <si>
    <t>HOSICO</t>
  </si>
  <si>
    <t>$0.01444</t>
  </si>
  <si>
    <t>$14,440,722</t>
  </si>
  <si>
    <t>$1,406,872</t>
  </si>
  <si>
    <t>Alvara Protocol</t>
  </si>
  <si>
    <t>ALVA</t>
  </si>
  <si>
    <t>$0.1963</t>
  </si>
  <si>
    <t>0.81%</t>
  </si>
  <si>
    <t>$14,425,837</t>
  </si>
  <si>
    <t>$686,075</t>
  </si>
  <si>
    <t>73.46M</t>
  </si>
  <si>
    <t>Free Palestine</t>
  </si>
  <si>
    <t>YAFA</t>
  </si>
  <si>
    <t>$0.01483</t>
  </si>
  <si>
    <t>$14,389,863</t>
  </si>
  <si>
    <t>$34,241</t>
  </si>
  <si>
    <t>969.99M</t>
  </si>
  <si>
    <t>Infinitar</t>
  </si>
  <si>
    <t>IGT</t>
  </si>
  <si>
    <t>$0.04302</t>
  </si>
  <si>
    <t>0.28%</t>
  </si>
  <si>
    <t>$11,345,859</t>
  </si>
  <si>
    <t>$810,252</t>
  </si>
  <si>
    <t>263.73M</t>
  </si>
  <si>
    <t>Biswap</t>
  </si>
  <si>
    <t>BSW</t>
  </si>
  <si>
    <t>$0.01686</t>
  </si>
  <si>
    <t>1.10%</t>
  </si>
  <si>
    <t>$11,304,052</t>
  </si>
  <si>
    <t>$8,799,764</t>
  </si>
  <si>
    <t>670.18M</t>
  </si>
  <si>
    <t>PublicAI</t>
  </si>
  <si>
    <t>PUBLIC</t>
  </si>
  <si>
    <t>$0.05637</t>
  </si>
  <si>
    <t>$11,274,163</t>
  </si>
  <si>
    <t>$6,405,267</t>
  </si>
  <si>
    <t>200M</t>
  </si>
  <si>
    <t>BasedAI</t>
  </si>
  <si>
    <t>BASEDAI</t>
  </si>
  <si>
    <t>$0.3249</t>
  </si>
  <si>
    <t>$11,243,721</t>
  </si>
  <si>
    <t>$25,910</t>
  </si>
  <si>
    <t>34.59M</t>
  </si>
  <si>
    <t>Bellscoin</t>
  </si>
  <si>
    <t>BELLS</t>
  </si>
  <si>
    <t>$0.1833</t>
  </si>
  <si>
    <t>2.60%</t>
  </si>
  <si>
    <t>$11,181,505</t>
  </si>
  <si>
    <t>$95,241</t>
  </si>
  <si>
    <t>60.97M</t>
  </si>
  <si>
    <t>SIGMA</t>
  </si>
  <si>
    <t>$0.01242</t>
  </si>
  <si>
    <t>1.64%</t>
  </si>
  <si>
    <t>$11,184,297</t>
  </si>
  <si>
    <t>$1,157,910</t>
  </si>
  <si>
    <t>899.84M</t>
  </si>
  <si>
    <t>STUFF.io</t>
  </si>
  <si>
    <t>STUFF</t>
  </si>
  <si>
    <t>$0.004238</t>
  </si>
  <si>
    <t>0.87%</t>
  </si>
  <si>
    <t>$11,144,288</t>
  </si>
  <si>
    <t>$19,472</t>
  </si>
  <si>
    <t>2.62B</t>
  </si>
  <si>
    <t>Tectonic</t>
  </si>
  <si>
    <t>TONIC</t>
  </si>
  <si>
    <t>$0.074502</t>
  </si>
  <si>
    <t>0.51%</t>
  </si>
  <si>
    <t>$11,155,057</t>
  </si>
  <si>
    <t>$233,918</t>
  </si>
  <si>
    <t>247.73T</t>
  </si>
  <si>
    <t>Prosper</t>
  </si>
  <si>
    <t>PROS</t>
  </si>
  <si>
    <t>$0.2159</t>
  </si>
  <si>
    <t>$11,101,030</t>
  </si>
  <si>
    <t>$105,278</t>
  </si>
  <si>
    <t>51.39M</t>
  </si>
  <si>
    <t>AKEDO</t>
  </si>
  <si>
    <t>AKE</t>
  </si>
  <si>
    <t>$0.0004861</t>
  </si>
  <si>
    <t>$11,082,865</t>
  </si>
  <si>
    <t>$8,599,503</t>
  </si>
  <si>
    <t>22.79B</t>
  </si>
  <si>
    <t>StablR USD</t>
  </si>
  <si>
    <t>USDR</t>
  </si>
  <si>
    <t>$0.9993</t>
  </si>
  <si>
    <t>$8,799,631</t>
  </si>
  <si>
    <t>$50,214,459</t>
  </si>
  <si>
    <t>8.8M</t>
  </si>
  <si>
    <t>Counterparty</t>
  </si>
  <si>
    <t>XCP</t>
  </si>
  <si>
    <t>$3.38</t>
  </si>
  <si>
    <t>$8,770,979</t>
  </si>
  <si>
    <t>$10</t>
  </si>
  <si>
    <t>2.59M</t>
  </si>
  <si>
    <t>Steem Dollars</t>
  </si>
  <si>
    <t>SBD</t>
  </si>
  <si>
    <t>$0.8940</t>
  </si>
  <si>
    <t>$8,762,689</t>
  </si>
  <si>
    <t>$1,784,357</t>
  </si>
  <si>
    <t>9.8M</t>
  </si>
  <si>
    <t>Startup</t>
  </si>
  <si>
    <t>STARTUP</t>
  </si>
  <si>
    <t>$0.008843</t>
  </si>
  <si>
    <t>1.13%</t>
  </si>
  <si>
    <t>$8,757,334</t>
  </si>
  <si>
    <t>$1,018,996</t>
  </si>
  <si>
    <t>990.28M</t>
  </si>
  <si>
    <t>LinqAI</t>
  </si>
  <si>
    <t>LNQ</t>
  </si>
  <si>
    <t>$0.03631</t>
  </si>
  <si>
    <t>$8,738,652</t>
  </si>
  <si>
    <t>$849,245</t>
  </si>
  <si>
    <t>240.6M</t>
  </si>
  <si>
    <t>Baanx</t>
  </si>
  <si>
    <t>BXX</t>
  </si>
  <si>
    <t>$0.04564</t>
  </si>
  <si>
    <t>$8,732,769</t>
  </si>
  <si>
    <t>$31,161</t>
  </si>
  <si>
    <t>191.31M</t>
  </si>
  <si>
    <t>TrustSwap</t>
  </si>
  <si>
    <t>SWAP</t>
  </si>
  <si>
    <t>$0.08713</t>
  </si>
  <si>
    <t>0.62%</t>
  </si>
  <si>
    <t>$8,712,671</t>
  </si>
  <si>
    <t>$260,752</t>
  </si>
  <si>
    <t>99.99M</t>
  </si>
  <si>
    <t>Tanssi</t>
  </si>
  <si>
    <t>TANSSI</t>
  </si>
  <si>
    <t>$0.03952</t>
  </si>
  <si>
    <t>$8,699,473</t>
  </si>
  <si>
    <t>$7,734,230</t>
  </si>
  <si>
    <t>220.1M</t>
  </si>
  <si>
    <t>Stride</t>
  </si>
  <si>
    <t>STRD</t>
  </si>
  <si>
    <t>$0.09871</t>
  </si>
  <si>
    <t>$8,669,853</t>
  </si>
  <si>
    <t>$229,548</t>
  </si>
  <si>
    <t>87.82M</t>
  </si>
  <si>
    <t>Peercoin</t>
  </si>
  <si>
    <t>PPC</t>
  </si>
  <si>
    <t>$0.2912</t>
  </si>
  <si>
    <t>$8,662,826</t>
  </si>
  <si>
    <t>$65,907</t>
  </si>
  <si>
    <t>29.74M</t>
  </si>
  <si>
    <t>WHALE</t>
  </si>
  <si>
    <t>$0.7020</t>
  </si>
  <si>
    <t>$7,020,264</t>
  </si>
  <si>
    <t>10M</t>
  </si>
  <si>
    <t>Venus DAI</t>
  </si>
  <si>
    <t>vDAI</t>
  </si>
  <si>
    <t>$0.02555</t>
  </si>
  <si>
    <t>$7,015,949</t>
  </si>
  <si>
    <t>274.53M</t>
  </si>
  <si>
    <t>Fluence</t>
  </si>
  <si>
    <t>FLT</t>
  </si>
  <si>
    <t>$0.03469</t>
  </si>
  <si>
    <t>$6,977,656</t>
  </si>
  <si>
    <t>$146,941</t>
  </si>
  <si>
    <t>201.12M</t>
  </si>
  <si>
    <t>Partisia Blockchain</t>
  </si>
  <si>
    <t>MPC</t>
  </si>
  <si>
    <t>$0.01934</t>
  </si>
  <si>
    <t>$6,955,385</t>
  </si>
  <si>
    <t>$6,780</t>
  </si>
  <si>
    <t>359.59M</t>
  </si>
  <si>
    <t>Hoge Finance</t>
  </si>
  <si>
    <t>HOGE</t>
  </si>
  <si>
    <t>$0.00001759</t>
  </si>
  <si>
    <t>$6,922,422</t>
  </si>
  <si>
    <t>393.4B</t>
  </si>
  <si>
    <t>Pain (paintoken.com)</t>
  </si>
  <si>
    <t>PAIN</t>
  </si>
  <si>
    <t>$1.38</t>
  </si>
  <si>
    <t>2.85%</t>
  </si>
  <si>
    <t>$6,916,559</t>
  </si>
  <si>
    <t>$425,962</t>
  </si>
  <si>
    <t>4.99M</t>
  </si>
  <si>
    <t>Sentinel</t>
  </si>
  <si>
    <t>P2P</t>
  </si>
  <si>
    <t>$0.0002995</t>
  </si>
  <si>
    <t>$6,910,668</t>
  </si>
  <si>
    <t>$87,808</t>
  </si>
  <si>
    <t>23.06B</t>
  </si>
  <si>
    <t>Cere Network</t>
  </si>
  <si>
    <t>CERE</t>
  </si>
  <si>
    <t>$0.0009944</t>
  </si>
  <si>
    <t>$6,901,123</t>
  </si>
  <si>
    <t>$187,469</t>
  </si>
  <si>
    <t>6.93B</t>
  </si>
  <si>
    <t>OVR</t>
  </si>
  <si>
    <t>$0.1352</t>
  </si>
  <si>
    <t>0.18%</t>
  </si>
  <si>
    <t>$6,897,513</t>
  </si>
  <si>
    <t>$340,331</t>
  </si>
  <si>
    <t>50.99M</t>
  </si>
  <si>
    <t>fanC</t>
  </si>
  <si>
    <t>FANC</t>
  </si>
  <si>
    <t>$0.004908</t>
  </si>
  <si>
    <t>$6,894,766</t>
  </si>
  <si>
    <t>$321,408</t>
  </si>
  <si>
    <t>1.4B</t>
  </si>
  <si>
    <t>Velvet</t>
  </si>
  <si>
    <t>VELVET</t>
  </si>
  <si>
    <t>$0.06052</t>
  </si>
  <si>
    <t>$5,328,756</t>
  </si>
  <si>
    <t>$4,164,781</t>
  </si>
  <si>
    <t>88.03M</t>
  </si>
  <si>
    <t>Wibegram</t>
  </si>
  <si>
    <t>WIBE</t>
  </si>
  <si>
    <t>$0.2610</t>
  </si>
  <si>
    <t>$5,322,203</t>
  </si>
  <si>
    <t>$3,754,649</t>
  </si>
  <si>
    <t>20.38M</t>
  </si>
  <si>
    <t>ABBC Coin</t>
  </si>
  <si>
    <t>ABBC</t>
  </si>
  <si>
    <t>$0.005877</t>
  </si>
  <si>
    <t>$5,321,075</t>
  </si>
  <si>
    <t>$59,834</t>
  </si>
  <si>
    <t>905.3M</t>
  </si>
  <si>
    <t>Lion Cat</t>
  </si>
  <si>
    <t>LCAT</t>
  </si>
  <si>
    <t>$0.01122</t>
  </si>
  <si>
    <t>2.94%</t>
  </si>
  <si>
    <t>$5,289,262</t>
  </si>
  <si>
    <t>$30,255</t>
  </si>
  <si>
    <t>471M</t>
  </si>
  <si>
    <t>Zero1 Labs</t>
  </si>
  <si>
    <t>DEAI</t>
  </si>
  <si>
    <t>$0.05787</t>
  </si>
  <si>
    <t>$5,279,826</t>
  </si>
  <si>
    <t>$1,013,267</t>
  </si>
  <si>
    <t>91.22M</t>
  </si>
  <si>
    <t>STAT</t>
  </si>
  <si>
    <t>$0.06946</t>
  </si>
  <si>
    <t>$5,273,359</t>
  </si>
  <si>
    <t>$846,710</t>
  </si>
  <si>
    <t>75.91M</t>
  </si>
  <si>
    <t>Stonks</t>
  </si>
  <si>
    <t>STNK</t>
  </si>
  <si>
    <t>$9.06</t>
  </si>
  <si>
    <t>$5,254,151</t>
  </si>
  <si>
    <t>$27,503</t>
  </si>
  <si>
    <t>579.84K</t>
  </si>
  <si>
    <t>Epic Cash</t>
  </si>
  <si>
    <t>EPIC</t>
  </si>
  <si>
    <t>$0.3037</t>
  </si>
  <si>
    <t>$5,249,160</t>
  </si>
  <si>
    <t>$64,548</t>
  </si>
  <si>
    <t>17.27M</t>
  </si>
  <si>
    <t>ORBIT</t>
  </si>
  <si>
    <t>GRIFT</t>
  </si>
  <si>
    <t>$0.005238</t>
  </si>
  <si>
    <t>0.91%</t>
  </si>
  <si>
    <t>$5,236,511</t>
  </si>
  <si>
    <t>$2,582,102</t>
  </si>
  <si>
    <t>999.68M</t>
  </si>
  <si>
    <t>Upland (SPARKLET)</t>
  </si>
  <si>
    <t>SPARKLET</t>
  </si>
  <si>
    <t>$0.02444</t>
  </si>
  <si>
    <t>$5,209,385</t>
  </si>
  <si>
    <t>$289,972</t>
  </si>
  <si>
    <t>213.09M</t>
  </si>
  <si>
    <t>Troll (troll.run)</t>
  </si>
  <si>
    <t>TROLL</t>
  </si>
  <si>
    <t>$0.084376</t>
  </si>
  <si>
    <t>1.33%</t>
  </si>
  <si>
    <t>$4,203,318</t>
  </si>
  <si>
    <t>$369,327</t>
  </si>
  <si>
    <t>960.42T</t>
  </si>
  <si>
    <t>DeFi Kingdoms</t>
  </si>
  <si>
    <t>JEWEL</t>
  </si>
  <si>
    <t>$0.03701</t>
  </si>
  <si>
    <t>$4,202,448</t>
  </si>
  <si>
    <t>113.53M</t>
  </si>
  <si>
    <t>BitForex Token</t>
  </si>
  <si>
    <t>BF</t>
  </si>
  <si>
    <t>$0.0009776</t>
  </si>
  <si>
    <t>$4,193,254</t>
  </si>
  <si>
    <t>4.28B</t>
  </si>
  <si>
    <t>XPIN Network</t>
  </si>
  <si>
    <t>XPIN</t>
  </si>
  <si>
    <t>$0.0006957</t>
  </si>
  <si>
    <t>3.69%</t>
  </si>
  <si>
    <t>$4,174,785</t>
  </si>
  <si>
    <t>$10,230,683</t>
  </si>
  <si>
    <t>6B</t>
  </si>
  <si>
    <t>Beam</t>
  </si>
  <si>
    <t>BEAM</t>
  </si>
  <si>
    <t>$0.02762</t>
  </si>
  <si>
    <t>$4,163,952</t>
  </si>
  <si>
    <t>$96,917</t>
  </si>
  <si>
    <t>150.75M</t>
  </si>
  <si>
    <t>Project WITH</t>
  </si>
  <si>
    <t>WIKEN</t>
  </si>
  <si>
    <t>$0.003939</t>
  </si>
  <si>
    <t>$4,148,747</t>
  </si>
  <si>
    <t>$8,766</t>
  </si>
  <si>
    <t>1.05B</t>
  </si>
  <si>
    <t>ICHI</t>
  </si>
  <si>
    <t>$0.4422</t>
  </si>
  <si>
    <t>$4,145,259</t>
  </si>
  <si>
    <t>9.37M</t>
  </si>
  <si>
    <t>Mysterium</t>
  </si>
  <si>
    <t>MYST</t>
  </si>
  <si>
    <t>$0.2066</t>
  </si>
  <si>
    <t>0.98%</t>
  </si>
  <si>
    <t>$4,140,168</t>
  </si>
  <si>
    <t>$106,213</t>
  </si>
  <si>
    <t>20.03M</t>
  </si>
  <si>
    <t>PRIZM</t>
  </si>
  <si>
    <t>PZM</t>
  </si>
  <si>
    <t>$0.0009470</t>
  </si>
  <si>
    <t>$4,138,839</t>
  </si>
  <si>
    <t>$847</t>
  </si>
  <si>
    <t>4.37B</t>
  </si>
  <si>
    <t>Frodo the virtual samurai</t>
  </si>
  <si>
    <t>FROG</t>
  </si>
  <si>
    <t>$0.0008261</t>
  </si>
  <si>
    <t>0.69%</t>
  </si>
  <si>
    <t>$4,130,541</t>
  </si>
  <si>
    <t>$355,240</t>
  </si>
  <si>
    <t>5B</t>
  </si>
  <si>
    <t>CatSlap</t>
  </si>
  <si>
    <t>SLAP</t>
  </si>
  <si>
    <t>$0.0007666</t>
  </si>
  <si>
    <t>$3,350,959</t>
  </si>
  <si>
    <t>MSTR2100</t>
  </si>
  <si>
    <t>MSTR</t>
  </si>
  <si>
    <t>$0.1620</t>
  </si>
  <si>
    <t>0.27%</t>
  </si>
  <si>
    <t>$3,346,569</t>
  </si>
  <si>
    <t>$331,094</t>
  </si>
  <si>
    <t>20.64M</t>
  </si>
  <si>
    <t>LABEL AI</t>
  </si>
  <si>
    <t>LBL</t>
  </si>
  <si>
    <t>$0.001237</t>
  </si>
  <si>
    <t>0.54%</t>
  </si>
  <si>
    <t>$3,339,357</t>
  </si>
  <si>
    <t>$18,420</t>
  </si>
  <si>
    <t>2.69B</t>
  </si>
  <si>
    <t>RCADE</t>
  </si>
  <si>
    <t>$0.0004016</t>
  </si>
  <si>
    <t>0.96%</t>
  </si>
  <si>
    <t>$3,333,341</t>
  </si>
  <si>
    <t>$1,613,699</t>
  </si>
  <si>
    <t>8.29B</t>
  </si>
  <si>
    <t>CrossFi</t>
  </si>
  <si>
    <t>XFI</t>
  </si>
  <si>
    <t>$0.05404</t>
  </si>
  <si>
    <t>$3,321,989</t>
  </si>
  <si>
    <t>$875,780</t>
  </si>
  <si>
    <t>61.46M</t>
  </si>
  <si>
    <t>Boom</t>
  </si>
  <si>
    <t>BOOM</t>
  </si>
  <si>
    <t>$0.01320</t>
  </si>
  <si>
    <t>1.12%</t>
  </si>
  <si>
    <t>$3,318,891</t>
  </si>
  <si>
    <t>$2,394,175</t>
  </si>
  <si>
    <t>251.34M</t>
  </si>
  <si>
    <t>Izumi Finance</t>
  </si>
  <si>
    <t>IZI</t>
  </si>
  <si>
    <t>$0.004211</t>
  </si>
  <si>
    <t>$3,316,153</t>
  </si>
  <si>
    <t>$95,553</t>
  </si>
  <si>
    <t>787.4M</t>
  </si>
  <si>
    <t>Push Protocol</t>
  </si>
  <si>
    <t>PUSH</t>
  </si>
  <si>
    <t>$0.03652</t>
  </si>
  <si>
    <t>0.29%</t>
  </si>
  <si>
    <t>$3,296,073</t>
  </si>
  <si>
    <t>$1,991,360</t>
  </si>
  <si>
    <t>90.23M</t>
  </si>
  <si>
    <t>Patriot</t>
  </si>
  <si>
    <t>PATRIOT</t>
  </si>
  <si>
    <t>$0.0003290</t>
  </si>
  <si>
    <t>$3,290,369</t>
  </si>
  <si>
    <t>$19,915</t>
  </si>
  <si>
    <t>10B</t>
  </si>
  <si>
    <t>Panda Swap</t>
  </si>
  <si>
    <t>PANDA</t>
  </si>
  <si>
    <t>$0.003694</t>
  </si>
  <si>
    <t>0.74%</t>
  </si>
  <si>
    <t>$3,283,841</t>
  </si>
  <si>
    <t>$123,380</t>
  </si>
  <si>
    <t>888.88M</t>
  </si>
  <si>
    <t>GAM3S.GG</t>
  </si>
  <si>
    <t>G3</t>
  </si>
  <si>
    <t>$0.005020</t>
  </si>
  <si>
    <t>0.17%</t>
  </si>
  <si>
    <t>$2,780,822</t>
  </si>
  <si>
    <t>$492,884</t>
  </si>
  <si>
    <t>553.85M</t>
  </si>
  <si>
    <t>Harold</t>
  </si>
  <si>
    <t>HAROLD</t>
  </si>
  <si>
    <t>$0.003526</t>
  </si>
  <si>
    <t>$2,775,444</t>
  </si>
  <si>
    <t>$78,498</t>
  </si>
  <si>
    <t>787M</t>
  </si>
  <si>
    <t>Tiger Shark</t>
  </si>
  <si>
    <t>TIGERSHARK</t>
  </si>
  <si>
    <t>$0.002758</t>
  </si>
  <si>
    <t>$2,758,101</t>
  </si>
  <si>
    <t>Decentrawood</t>
  </si>
  <si>
    <t>DEOD</t>
  </si>
  <si>
    <t>$0.005687</t>
  </si>
  <si>
    <t>$2,752,249</t>
  </si>
  <si>
    <t>$248,901</t>
  </si>
  <si>
    <t>483.88M</t>
  </si>
  <si>
    <t>Lumera Health</t>
  </si>
  <si>
    <t>LUR</t>
  </si>
  <si>
    <t>$2.63</t>
  </si>
  <si>
    <t>1.66%</t>
  </si>
  <si>
    <t>$2,740,226</t>
  </si>
  <si>
    <t>$650,212</t>
  </si>
  <si>
    <t>1.04M</t>
  </si>
  <si>
    <t>Celsius</t>
  </si>
  <si>
    <t>CEL</t>
  </si>
  <si>
    <t>$0.07225</t>
  </si>
  <si>
    <t>$2,725,328</t>
  </si>
  <si>
    <t>$225,992</t>
  </si>
  <si>
    <t>37.72M</t>
  </si>
  <si>
    <t>aixCB by Virtuals</t>
  </si>
  <si>
    <t>AIXCB</t>
  </si>
  <si>
    <t>$0.002739</t>
  </si>
  <si>
    <t>$2,721,575</t>
  </si>
  <si>
    <t>$9,317</t>
  </si>
  <si>
    <t>993.5M</t>
  </si>
  <si>
    <t>Solchat</t>
  </si>
  <si>
    <t>CHAT</t>
  </si>
  <si>
    <t>$0.3380</t>
  </si>
  <si>
    <t>1.62%</t>
  </si>
  <si>
    <t>$2,718,841</t>
  </si>
  <si>
    <t>$93,501</t>
  </si>
  <si>
    <t>8.04M</t>
  </si>
  <si>
    <t>Baby Grok (babygrok.ai)</t>
  </si>
  <si>
    <t>BABYGROK</t>
  </si>
  <si>
    <t>$0.088474</t>
  </si>
  <si>
    <t>$2,717,949</t>
  </si>
  <si>
    <t>$86,410</t>
  </si>
  <si>
    <t>320.72T</t>
  </si>
  <si>
    <t>Alpaca Finance</t>
  </si>
  <si>
    <t>ALPACA</t>
  </si>
  <si>
    <t>$0.01790</t>
  </si>
  <si>
    <t>0.64%</t>
  </si>
  <si>
    <t>$2,715,332</t>
  </si>
  <si>
    <t>$475,091</t>
  </si>
  <si>
    <t>151.66M</t>
  </si>
  <si>
    <t>Nitro</t>
  </si>
  <si>
    <t>NITRO</t>
  </si>
  <si>
    <t>$0.055381</t>
  </si>
  <si>
    <t>$2,203,902</t>
  </si>
  <si>
    <t>$537,558</t>
  </si>
  <si>
    <t>409.5B</t>
  </si>
  <si>
    <t>MarsDAO</t>
  </si>
  <si>
    <t>MDAO</t>
  </si>
  <si>
    <t>$0.03111</t>
  </si>
  <si>
    <t>$2,196,829</t>
  </si>
  <si>
    <t>$181,224</t>
  </si>
  <si>
    <t>70.59M</t>
  </si>
  <si>
    <t>Cypherium</t>
  </si>
  <si>
    <t>CPH</t>
  </si>
  <si>
    <t>$0.005725</t>
  </si>
  <si>
    <t>$2,192,711</t>
  </si>
  <si>
    <t>$55,232</t>
  </si>
  <si>
    <t>382.95M</t>
  </si>
  <si>
    <t>The Nation Token</t>
  </si>
  <si>
    <t>NATO</t>
  </si>
  <si>
    <t>$0.052193</t>
  </si>
  <si>
    <t>$2,193,844</t>
  </si>
  <si>
    <t>$238,266</t>
  </si>
  <si>
    <t>1T</t>
  </si>
  <si>
    <t>Orbit Chain</t>
  </si>
  <si>
    <t>ORC</t>
  </si>
  <si>
    <t>$0.003197</t>
  </si>
  <si>
    <t>$2,190,937</t>
  </si>
  <si>
    <t>685.09M</t>
  </si>
  <si>
    <t>Messiah</t>
  </si>
  <si>
    <t>MSIA</t>
  </si>
  <si>
    <t>$0.3023</t>
  </si>
  <si>
    <t>$2,187,874</t>
  </si>
  <si>
    <t>$49,762</t>
  </si>
  <si>
    <t>7.23M</t>
  </si>
  <si>
    <t>Xaya</t>
  </si>
  <si>
    <t>CHI</t>
  </si>
  <si>
    <t>$0.03800</t>
  </si>
  <si>
    <t>$2,179,537</t>
  </si>
  <si>
    <t>$1,268</t>
  </si>
  <si>
    <t>57.34M</t>
  </si>
  <si>
    <t>Shiba Predator</t>
  </si>
  <si>
    <t>QOM</t>
  </si>
  <si>
    <t>$0.083632</t>
  </si>
  <si>
    <t>1.05%</t>
  </si>
  <si>
    <t>$2,178,852</t>
  </si>
  <si>
    <t>$3,030</t>
  </si>
  <si>
    <t>599.88T</t>
  </si>
  <si>
    <t>Expand</t>
  </si>
  <si>
    <t>XZK</t>
  </si>
  <si>
    <t>$0.003261</t>
  </si>
  <si>
    <t>1.83%</t>
  </si>
  <si>
    <t>$2,188,825</t>
  </si>
  <si>
    <t>$69,711</t>
  </si>
  <si>
    <t>671.09M</t>
  </si>
  <si>
    <t>TypeAI</t>
  </si>
  <si>
    <t>TYPE</t>
  </si>
  <si>
    <t>$0.2167</t>
  </si>
  <si>
    <t>$2,167,793</t>
  </si>
  <si>
    <t>Plearn</t>
  </si>
  <si>
    <t>PLN</t>
  </si>
  <si>
    <t>$0.02041</t>
  </si>
  <si>
    <t>$1,756,805</t>
  </si>
  <si>
    <t>$90,761</t>
  </si>
  <si>
    <t>86.06M</t>
  </si>
  <si>
    <t>HODL Coin</t>
  </si>
  <si>
    <t>HODL</t>
  </si>
  <si>
    <t>$0.001755</t>
  </si>
  <si>
    <t>4.27%</t>
  </si>
  <si>
    <t>$1,755,788</t>
  </si>
  <si>
    <t>$403,029</t>
  </si>
  <si>
    <t>Neutrino Index</t>
  </si>
  <si>
    <t>XTN</t>
  </si>
  <si>
    <t>$0.03375</t>
  </si>
  <si>
    <t>$1,754,868</t>
  </si>
  <si>
    <t>$637</t>
  </si>
  <si>
    <t>51.98M</t>
  </si>
  <si>
    <t>ADAMANT Messenger</t>
  </si>
  <si>
    <t>ADM</t>
  </si>
  <si>
    <t>$0.01587</t>
  </si>
  <si>
    <t>$1,752,254</t>
  </si>
  <si>
    <t>$73,794</t>
  </si>
  <si>
    <t>110.37M</t>
  </si>
  <si>
    <t>Q Protocol</t>
  </si>
  <si>
    <t>QGOV</t>
  </si>
  <si>
    <t>$0.006551</t>
  </si>
  <si>
    <t>$1,747,236</t>
  </si>
  <si>
    <t>$99,738</t>
  </si>
  <si>
    <t>266.69M</t>
  </si>
  <si>
    <t>Carnomaly</t>
  </si>
  <si>
    <t>CARR</t>
  </si>
  <si>
    <t>$0.001085</t>
  </si>
  <si>
    <t>0.58%</t>
  </si>
  <si>
    <t>$1,745,226</t>
  </si>
  <si>
    <t>$57,798</t>
  </si>
  <si>
    <t>Tune.FM</t>
  </si>
  <si>
    <t>JAM</t>
  </si>
  <si>
    <t>$0.00005854</t>
  </si>
  <si>
    <t>$1,739,324</t>
  </si>
  <si>
    <t>$28,022</t>
  </si>
  <si>
    <t>29.7B</t>
  </si>
  <si>
    <t>Etherisc DIP Token</t>
  </si>
  <si>
    <t>DIP</t>
  </si>
  <si>
    <t>$0.007252</t>
  </si>
  <si>
    <t>$1,738,739</t>
  </si>
  <si>
    <t>$52</t>
  </si>
  <si>
    <t>239.74M</t>
  </si>
  <si>
    <t>IVPAY</t>
  </si>
  <si>
    <t>$0.001871</t>
  </si>
  <si>
    <t>0.26%</t>
  </si>
  <si>
    <t>$1,736,200</t>
  </si>
  <si>
    <t>$105,335</t>
  </si>
  <si>
    <t>927.74M</t>
  </si>
  <si>
    <t>Gemach</t>
  </si>
  <si>
    <t>GMAC</t>
  </si>
  <si>
    <t>$0.003466</t>
  </si>
  <si>
    <t>$1,733,212</t>
  </si>
  <si>
    <t>Circulating_Supply($)</t>
  </si>
  <si>
    <t>DollarVolume per Supply</t>
  </si>
  <si>
    <t>Rank</t>
  </si>
  <si>
    <t>Price Range</t>
  </si>
  <si>
    <t>Row Labels</t>
  </si>
  <si>
    <t>Grand Total</t>
  </si>
  <si>
    <t>Sum of Price (USD)</t>
  </si>
  <si>
    <t xml:space="preserve"> Price (USD)</t>
  </si>
  <si>
    <t>Sum of 1h Change (%)</t>
  </si>
  <si>
    <t>Dollar Volume per Supply</t>
  </si>
  <si>
    <t xml:space="preserve">  Price (USD)</t>
  </si>
  <si>
    <t>Sum of Circulating_Supply($)</t>
  </si>
  <si>
    <t>Sum of Market Cap</t>
  </si>
  <si>
    <t>Others</t>
  </si>
  <si>
    <t>Key Performance Indicators</t>
  </si>
  <si>
    <t>Total Market Capital</t>
  </si>
  <si>
    <t>Total Price of coins</t>
  </si>
  <si>
    <t>Total Circulating Supply</t>
  </si>
  <si>
    <t>Highesht Price Coin</t>
  </si>
  <si>
    <t>Highest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</si>
</sst>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6F6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[Crypto_Analysis_Dashboard.xlsx]Pivot_Charts!PivotTable2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Top</a:t>
            </a:r>
            <a:r>
              <a:rPr lang="en-US" sz="1600" b="1" baseline="0">
                <a:solidFill>
                  <a:schemeClr val="accent2">
                    <a:lumMod val="75000"/>
                  </a:schemeClr>
                </a:solidFill>
              </a:rPr>
              <a:t> 10 coins by Price</a:t>
            </a:r>
            <a:endParaRPr lang="en-US" sz="1600" b="1">
              <a:solidFill>
                <a:schemeClr val="accent2">
                  <a:lumMod val="75000"/>
                </a:schemeClr>
              </a:solidFill>
            </a:endParaRPr>
          </a:p>
        </c:rich>
      </c:tx>
      <c:layout>
        <c:manualLayout>
          <c:xMode val="edge"/>
          <c:yMode val="edge"/>
          <c:x val="0.26943495098410941"/>
          <c:y val="5.0110260932661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Pivot_Charts!$B$2</c:f>
              <c:strCache>
                <c:ptCount val="1"/>
                <c:pt idx="0">
                  <c:v>Total</c:v>
                </c:pt>
              </c:strCache>
            </c:strRef>
          </c:tx>
          <c:spPr>
            <a:solidFill>
              <a:schemeClr val="accent1"/>
            </a:solidFill>
            <a:ln>
              <a:noFill/>
            </a:ln>
            <a:effectLst/>
          </c:spPr>
          <c:invertIfNegative val="0"/>
          <c:cat>
            <c:strRef>
              <c:f>Pivot_Charts!$A$3:$A$13</c:f>
              <c:strCache>
                <c:ptCount val="10"/>
                <c:pt idx="0">
                  <c:v>Bitcoin</c:v>
                </c:pt>
                <c:pt idx="1">
                  <c:v>Ethereum</c:v>
                </c:pt>
                <c:pt idx="2">
                  <c:v>BNB</c:v>
                </c:pt>
                <c:pt idx="3">
                  <c:v>Solana</c:v>
                </c:pt>
                <c:pt idx="4">
                  <c:v>Zcash</c:v>
                </c:pt>
                <c:pt idx="5">
                  <c:v>AIHub</c:v>
                </c:pt>
                <c:pt idx="6">
                  <c:v>Tornado Cash</c:v>
                </c:pt>
                <c:pt idx="7">
                  <c:v>Bounce Token</c:v>
                </c:pt>
                <c:pt idx="8">
                  <c:v>Stonks</c:v>
                </c:pt>
                <c:pt idx="9">
                  <c:v>DeXe</c:v>
                </c:pt>
              </c:strCache>
            </c:strRef>
          </c:cat>
          <c:val>
            <c:numRef>
              <c:f>Pivot_Charts!$B$3:$B$13</c:f>
              <c:numCache>
                <c:formatCode>General</c:formatCode>
                <c:ptCount val="10"/>
                <c:pt idx="0">
                  <c:v>112396.23</c:v>
                </c:pt>
                <c:pt idx="1">
                  <c:v>4631.6899999999996</c:v>
                </c:pt>
                <c:pt idx="2">
                  <c:v>864.91</c:v>
                </c:pt>
                <c:pt idx="3">
                  <c:v>208.97</c:v>
                </c:pt>
                <c:pt idx="4">
                  <c:v>42.45</c:v>
                </c:pt>
                <c:pt idx="5">
                  <c:v>16.850000000000001</c:v>
                </c:pt>
                <c:pt idx="6">
                  <c:v>11.79</c:v>
                </c:pt>
                <c:pt idx="7">
                  <c:v>10.119999999999999</c:v>
                </c:pt>
                <c:pt idx="8">
                  <c:v>9.06</c:v>
                </c:pt>
                <c:pt idx="9">
                  <c:v>7.42</c:v>
                </c:pt>
              </c:numCache>
            </c:numRef>
          </c:val>
          <c:extLst>
            <c:ext xmlns:c16="http://schemas.microsoft.com/office/drawing/2014/chart" uri="{C3380CC4-5D6E-409C-BE32-E72D297353CC}">
              <c16:uniqueId val="{00000000-0DDE-492B-ACFC-BE75B1C8E730}"/>
            </c:ext>
          </c:extLst>
        </c:ser>
        <c:dLbls>
          <c:showLegendKey val="0"/>
          <c:showVal val="0"/>
          <c:showCatName val="0"/>
          <c:showSerName val="0"/>
          <c:showPercent val="0"/>
          <c:showBubbleSize val="0"/>
        </c:dLbls>
        <c:gapWidth val="219"/>
        <c:overlap val="-27"/>
        <c:axId val="1934442240"/>
        <c:axId val="1934431680"/>
      </c:barChart>
      <c:catAx>
        <c:axId val="193444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431680"/>
        <c:crosses val="autoZero"/>
        <c:auto val="1"/>
        <c:lblAlgn val="ctr"/>
        <c:lblOffset val="100"/>
        <c:noMultiLvlLbl val="0"/>
      </c:catAx>
      <c:valAx>
        <c:axId val="193443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44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000">
          <a:srgbClr val="E1E7EF"/>
        </a:gs>
        <a:gs pos="36000">
          <a:schemeClr val="accent1">
            <a:lumMod val="20000"/>
            <a:lumOff val="80000"/>
          </a:schemeClr>
        </a:gs>
        <a:gs pos="100000">
          <a:schemeClr val="tx2">
            <a:lumMod val="60000"/>
            <a:lumOff val="40000"/>
            <a:alpha val="73000"/>
          </a:schemeClr>
        </a:gs>
        <a:gs pos="82000">
          <a:schemeClr val="accent1">
            <a:lumMod val="30000"/>
            <a:lumOff val="70000"/>
          </a:schemeClr>
        </a:gs>
      </a:gsLst>
      <a:lin ang="5400000" scaled="1"/>
    </a:gradFill>
    <a:ln w="9525" cap="flat" cmpd="sng" algn="ctr">
      <a:noFill/>
      <a:round/>
    </a:ln>
    <a:effectLst>
      <a:glow rad="38100">
        <a:schemeClr val="accent2">
          <a:satMod val="175000"/>
          <a:alpha val="45000"/>
        </a:schemeClr>
      </a:glow>
      <a:outerShdw blurRad="63500" sx="102000" sy="102000" algn="ctr" rotWithShape="0">
        <a:srgbClr val="FFC000">
          <a:alpha val="50000"/>
        </a:srgb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[Crypto_Analysis_Dashboard.xlsx]Pivot_Charts!PivotTable3</c:name>
    <c:fmtId val="1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chemeClr val="accent2">
                    <a:lumMod val="75000"/>
                  </a:schemeClr>
                </a:solidFill>
              </a:rPr>
              <a:t>Most</a:t>
            </a:r>
            <a:r>
              <a:rPr lang="en-US" sz="1600" b="1" baseline="0">
                <a:solidFill>
                  <a:schemeClr val="accent2">
                    <a:lumMod val="75000"/>
                  </a:schemeClr>
                </a:solidFill>
              </a:rPr>
              <a:t> Chnage in 1 hour</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Pivot_Charts!$B$21</c:f>
              <c:strCache>
                <c:ptCount val="1"/>
                <c:pt idx="0">
                  <c:v>Total</c:v>
                </c:pt>
              </c:strCache>
            </c:strRef>
          </c:tx>
          <c:spPr>
            <a:solidFill>
              <a:schemeClr val="accent1"/>
            </a:solidFill>
            <a:ln>
              <a:noFill/>
            </a:ln>
            <a:effectLst/>
            <a:sp3d/>
          </c:spPr>
          <c:invertIfNegative val="0"/>
          <c:cat>
            <c:strRef>
              <c:f>Pivot_Charts!$A$22:$A$32</c:f>
              <c:strCache>
                <c:ptCount val="10"/>
                <c:pt idx="0">
                  <c:v>Bellscoin</c:v>
                </c:pt>
                <c:pt idx="1">
                  <c:v>Expand</c:v>
                </c:pt>
                <c:pt idx="2">
                  <c:v>HODL Coin</c:v>
                </c:pt>
                <c:pt idx="3">
                  <c:v>Lion Cat</c:v>
                </c:pt>
                <c:pt idx="4">
                  <c:v>Lumera Health</c:v>
                </c:pt>
                <c:pt idx="5">
                  <c:v>Pain (paintoken.com)</c:v>
                </c:pt>
                <c:pt idx="6">
                  <c:v>SIGMA</c:v>
                </c:pt>
                <c:pt idx="7">
                  <c:v>Solchat</c:v>
                </c:pt>
                <c:pt idx="8">
                  <c:v>XPIN Network</c:v>
                </c:pt>
                <c:pt idx="9">
                  <c:v>XPLA</c:v>
                </c:pt>
              </c:strCache>
            </c:strRef>
          </c:cat>
          <c:val>
            <c:numRef>
              <c:f>Pivot_Charts!$B$22:$B$32</c:f>
              <c:numCache>
                <c:formatCode>General</c:formatCode>
                <c:ptCount val="10"/>
                <c:pt idx="0">
                  <c:v>2.5999999999999999E-2</c:v>
                </c:pt>
                <c:pt idx="1">
                  <c:v>1.83E-2</c:v>
                </c:pt>
                <c:pt idx="2">
                  <c:v>4.2700000000000002E-2</c:v>
                </c:pt>
                <c:pt idx="3">
                  <c:v>2.9399999999999999E-2</c:v>
                </c:pt>
                <c:pt idx="4">
                  <c:v>1.66E-2</c:v>
                </c:pt>
                <c:pt idx="5">
                  <c:v>2.8500000000000001E-2</c:v>
                </c:pt>
                <c:pt idx="6">
                  <c:v>1.6400000000000001E-2</c:v>
                </c:pt>
                <c:pt idx="7">
                  <c:v>1.6199999999999999E-2</c:v>
                </c:pt>
                <c:pt idx="8">
                  <c:v>3.6900000000000002E-2</c:v>
                </c:pt>
                <c:pt idx="9">
                  <c:v>2.1600000000000001E-2</c:v>
                </c:pt>
              </c:numCache>
            </c:numRef>
          </c:val>
          <c:extLst>
            <c:ext xmlns:c16="http://schemas.microsoft.com/office/drawing/2014/chart" uri="{C3380CC4-5D6E-409C-BE32-E72D297353CC}">
              <c16:uniqueId val="{00000000-B778-498B-958D-FE34B469B27E}"/>
            </c:ext>
          </c:extLst>
        </c:ser>
        <c:dLbls>
          <c:showLegendKey val="0"/>
          <c:showVal val="0"/>
          <c:showCatName val="0"/>
          <c:showSerName val="0"/>
          <c:showPercent val="0"/>
          <c:showBubbleSize val="0"/>
        </c:dLbls>
        <c:gapWidth val="150"/>
        <c:shape val="box"/>
        <c:axId val="1250381904"/>
        <c:axId val="1250384784"/>
        <c:axId val="0"/>
      </c:bar3DChart>
      <c:catAx>
        <c:axId val="1250381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0384784"/>
        <c:crosses val="autoZero"/>
        <c:auto val="1"/>
        <c:lblAlgn val="ctr"/>
        <c:lblOffset val="100"/>
        <c:noMultiLvlLbl val="0"/>
      </c:catAx>
      <c:valAx>
        <c:axId val="125038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038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3000">
          <a:srgbClr val="E1E7EF"/>
        </a:gs>
        <a:gs pos="36000">
          <a:schemeClr val="accent1">
            <a:lumMod val="20000"/>
            <a:lumOff val="80000"/>
          </a:schemeClr>
        </a:gs>
        <a:gs pos="100000">
          <a:schemeClr val="tx2">
            <a:lumMod val="60000"/>
            <a:lumOff val="40000"/>
            <a:alpha val="73000"/>
          </a:schemeClr>
        </a:gs>
        <a:gs pos="82000">
          <a:schemeClr val="accent1">
            <a:lumMod val="30000"/>
            <a:lumOff val="70000"/>
          </a:schemeClr>
        </a:gs>
      </a:gsLst>
      <a:lin ang="5400000" scaled="1"/>
    </a:gradFill>
    <a:ln w="9525" cap="flat" cmpd="sng" algn="ctr">
      <a:solidFill>
        <a:schemeClr val="tx1">
          <a:lumMod val="15000"/>
          <a:lumOff val="85000"/>
        </a:schemeClr>
      </a:solidFill>
      <a:round/>
    </a:ln>
    <a:effectLst>
      <a:glow rad="101600">
        <a:schemeClr val="accent2">
          <a:satMod val="175000"/>
          <a:alpha val="40000"/>
        </a:schemeClr>
      </a:glow>
      <a:outerShdw blurRad="63500" sx="102000" sy="102000" algn="ctr" rotWithShape="0">
        <a:schemeClr val="accent6">
          <a:lumMod val="75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[Crypto_Analysis_Dashboard.xlsx]Pivot_Charts!PivotTable4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Price</a:t>
            </a:r>
            <a:r>
              <a:rPr lang="en-IN" sz="1600" b="1" baseline="0">
                <a:solidFill>
                  <a:schemeClr val="accent2">
                    <a:lumMod val="75000"/>
                  </a:schemeClr>
                </a:solidFill>
              </a:rPr>
              <a:t> Vs Dollar Supply</a:t>
            </a:r>
            <a:endParaRPr lang="en-IN"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Pivot_Charts!$B$38</c:f>
              <c:strCache>
                <c:ptCount val="1"/>
                <c:pt idx="0">
                  <c:v>Dollar Volume per Supply</c:v>
                </c:pt>
              </c:strCache>
            </c:strRef>
          </c:tx>
          <c:spPr>
            <a:solidFill>
              <a:schemeClr val="accent1"/>
            </a:solidFill>
            <a:ln>
              <a:noFill/>
            </a:ln>
            <a:effectLst/>
          </c:spPr>
          <c:invertIfNegative val="0"/>
          <c:cat>
            <c:strRef>
              <c:f>Pivot_Charts!$A$39:$A$49</c:f>
              <c:strCache>
                <c:ptCount val="10"/>
                <c:pt idx="0">
                  <c:v>Bitcoin</c:v>
                </c:pt>
                <c:pt idx="1">
                  <c:v>BNB</c:v>
                </c:pt>
                <c:pt idx="2">
                  <c:v>Bounce Token</c:v>
                </c:pt>
                <c:pt idx="3">
                  <c:v>Ethereum</c:v>
                </c:pt>
                <c:pt idx="4">
                  <c:v>Lumera Health</c:v>
                </c:pt>
                <c:pt idx="5">
                  <c:v>MetYa</c:v>
                </c:pt>
                <c:pt idx="6">
                  <c:v>Solana</c:v>
                </c:pt>
                <c:pt idx="7">
                  <c:v>StablR USD</c:v>
                </c:pt>
                <c:pt idx="8">
                  <c:v>Tether</c:v>
                </c:pt>
                <c:pt idx="9">
                  <c:v>Zcash</c:v>
                </c:pt>
              </c:strCache>
            </c:strRef>
          </c:cat>
          <c:val>
            <c:numRef>
              <c:f>Pivot_Charts!$B$39:$B$49</c:f>
              <c:numCache>
                <c:formatCode>General</c:formatCode>
                <c:ptCount val="10"/>
                <c:pt idx="0">
                  <c:v>3073.6519340030136</c:v>
                </c:pt>
                <c:pt idx="1">
                  <c:v>16.360382876220562</c:v>
                </c:pt>
                <c:pt idx="2">
                  <c:v>4.5658226600985223</c:v>
                </c:pt>
                <c:pt idx="3">
                  <c:v>362.17572245236124</c:v>
                </c:pt>
                <c:pt idx="4">
                  <c:v>0.62520384615384617</c:v>
                </c:pt>
                <c:pt idx="5">
                  <c:v>0.38257109462800631</c:v>
                </c:pt>
                <c:pt idx="6">
                  <c:v>18.730564196274994</c:v>
                </c:pt>
                <c:pt idx="7">
                  <c:v>5.7061885227272731</c:v>
                </c:pt>
                <c:pt idx="8">
                  <c:v>0.70126850046052636</c:v>
                </c:pt>
                <c:pt idx="9">
                  <c:v>4.3963110012360938</c:v>
                </c:pt>
              </c:numCache>
            </c:numRef>
          </c:val>
          <c:extLst>
            <c:ext xmlns:c16="http://schemas.microsoft.com/office/drawing/2014/chart" uri="{C3380CC4-5D6E-409C-BE32-E72D297353CC}">
              <c16:uniqueId val="{00000000-A266-43EC-B847-B9DBFBE529AE}"/>
            </c:ext>
          </c:extLst>
        </c:ser>
        <c:ser>
          <c:idx val="1"/>
          <c:order val="1"/>
          <c:tx>
            <c:strRef>
              <c:f>Pivot_Charts!$C$38</c:f>
              <c:strCache>
                <c:ptCount val="1"/>
                <c:pt idx="0">
                  <c:v>  Price (USD)</c:v>
                </c:pt>
              </c:strCache>
            </c:strRef>
          </c:tx>
          <c:spPr>
            <a:solidFill>
              <a:schemeClr val="accent2"/>
            </a:solidFill>
            <a:ln>
              <a:noFill/>
            </a:ln>
            <a:effectLst/>
          </c:spPr>
          <c:invertIfNegative val="0"/>
          <c:cat>
            <c:strRef>
              <c:f>Pivot_Charts!$A$39:$A$49</c:f>
              <c:strCache>
                <c:ptCount val="10"/>
                <c:pt idx="0">
                  <c:v>Bitcoin</c:v>
                </c:pt>
                <c:pt idx="1">
                  <c:v>BNB</c:v>
                </c:pt>
                <c:pt idx="2">
                  <c:v>Bounce Token</c:v>
                </c:pt>
                <c:pt idx="3">
                  <c:v>Ethereum</c:v>
                </c:pt>
                <c:pt idx="4">
                  <c:v>Lumera Health</c:v>
                </c:pt>
                <c:pt idx="5">
                  <c:v>MetYa</c:v>
                </c:pt>
                <c:pt idx="6">
                  <c:v>Solana</c:v>
                </c:pt>
                <c:pt idx="7">
                  <c:v>StablR USD</c:v>
                </c:pt>
                <c:pt idx="8">
                  <c:v>Tether</c:v>
                </c:pt>
                <c:pt idx="9">
                  <c:v>Zcash</c:v>
                </c:pt>
              </c:strCache>
            </c:strRef>
          </c:cat>
          <c:val>
            <c:numRef>
              <c:f>Pivot_Charts!$C$39:$C$49</c:f>
              <c:numCache>
                <c:formatCode>General</c:formatCode>
                <c:ptCount val="10"/>
                <c:pt idx="0">
                  <c:v>112396.23</c:v>
                </c:pt>
                <c:pt idx="1">
                  <c:v>864.91</c:v>
                </c:pt>
                <c:pt idx="2">
                  <c:v>10.119999999999999</c:v>
                </c:pt>
                <c:pt idx="3">
                  <c:v>4631.6899999999996</c:v>
                </c:pt>
                <c:pt idx="4">
                  <c:v>2.63</c:v>
                </c:pt>
                <c:pt idx="5">
                  <c:v>0.249</c:v>
                </c:pt>
                <c:pt idx="6">
                  <c:v>208.97</c:v>
                </c:pt>
                <c:pt idx="7">
                  <c:v>0.99929999999999997</c:v>
                </c:pt>
                <c:pt idx="8">
                  <c:v>1</c:v>
                </c:pt>
                <c:pt idx="9">
                  <c:v>42.45</c:v>
                </c:pt>
              </c:numCache>
            </c:numRef>
          </c:val>
          <c:extLst>
            <c:ext xmlns:c16="http://schemas.microsoft.com/office/drawing/2014/chart" uri="{C3380CC4-5D6E-409C-BE32-E72D297353CC}">
              <c16:uniqueId val="{00000001-A266-43EC-B847-B9DBFBE529AE}"/>
            </c:ext>
          </c:extLst>
        </c:ser>
        <c:dLbls>
          <c:showLegendKey val="0"/>
          <c:showVal val="0"/>
          <c:showCatName val="0"/>
          <c:showSerName val="0"/>
          <c:showPercent val="0"/>
          <c:showBubbleSize val="0"/>
        </c:dLbls>
        <c:gapWidth val="219"/>
        <c:overlap val="-27"/>
        <c:axId val="2033131344"/>
        <c:axId val="2033130384"/>
      </c:barChart>
      <c:catAx>
        <c:axId val="203313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30384"/>
        <c:crosses val="autoZero"/>
        <c:auto val="1"/>
        <c:lblAlgn val="ctr"/>
        <c:lblOffset val="100"/>
        <c:noMultiLvlLbl val="0"/>
      </c:catAx>
      <c:valAx>
        <c:axId val="203313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3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3000">
          <a:srgbClr val="E1E7EF"/>
        </a:gs>
        <a:gs pos="36000">
          <a:schemeClr val="accent1">
            <a:lumMod val="20000"/>
            <a:lumOff val="80000"/>
          </a:schemeClr>
        </a:gs>
        <a:gs pos="100000">
          <a:schemeClr val="tx2">
            <a:lumMod val="60000"/>
            <a:lumOff val="40000"/>
            <a:alpha val="73000"/>
          </a:schemeClr>
        </a:gs>
        <a:gs pos="82000">
          <a:schemeClr val="accent1">
            <a:lumMod val="30000"/>
            <a:lumOff val="70000"/>
          </a:schemeClr>
        </a:gs>
      </a:gsLst>
      <a:lin ang="5400000" scaled="1"/>
    </a:gradFill>
    <a:ln w="9525" cap="flat" cmpd="sng" algn="ctr">
      <a:solidFill>
        <a:schemeClr val="tx1">
          <a:lumMod val="15000"/>
          <a:lumOff val="85000"/>
        </a:schemeClr>
      </a:solidFill>
      <a:round/>
    </a:ln>
    <a:effectLst>
      <a:glow rad="101600">
        <a:srgbClr val="C00000">
          <a:alpha val="20000"/>
        </a:srgbClr>
      </a:glow>
      <a:outerShdw blurRad="63500" sx="102000" sy="102000" algn="ctr" rotWithShape="0">
        <a:srgbClr val="FFC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accent2">
                    <a:lumMod val="75000"/>
                  </a:schemeClr>
                </a:solidFill>
              </a:rPr>
              <a:t>Market Capital Shares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Pivot_Charts!$Y$5:$Y$10</c:f>
              <c:strCache>
                <c:ptCount val="6"/>
                <c:pt idx="0">
                  <c:v>Bitcoin</c:v>
                </c:pt>
                <c:pt idx="1">
                  <c:v>Ethereum</c:v>
                </c:pt>
                <c:pt idx="2">
                  <c:v>XRP</c:v>
                </c:pt>
                <c:pt idx="3">
                  <c:v>Tether</c:v>
                </c:pt>
                <c:pt idx="4">
                  <c:v>BNB</c:v>
                </c:pt>
                <c:pt idx="5">
                  <c:v>Others</c:v>
                </c:pt>
              </c:strCache>
            </c:strRef>
          </c:cat>
          <c:val>
            <c:numRef>
              <c:f>Pivot_Charts!$Z$5:$Z$10</c:f>
              <c:numCache>
                <c:formatCode>General</c:formatCode>
                <c:ptCount val="6"/>
                <c:pt idx="0">
                  <c:v>2236591973065</c:v>
                </c:pt>
                <c:pt idx="1">
                  <c:v>558774287294</c:v>
                </c:pt>
                <c:pt idx="2">
                  <c:v>179761935139</c:v>
                </c:pt>
                <c:pt idx="3">
                  <c:v>167211922205</c:v>
                </c:pt>
                <c:pt idx="4">
                  <c:v>120460279991</c:v>
                </c:pt>
                <c:pt idx="5">
                  <c:v>300038169740</c:v>
                </c:pt>
              </c:numCache>
            </c:numRef>
          </c:val>
          <c:extLst>
            <c:ext xmlns:c16="http://schemas.microsoft.com/office/drawing/2014/chart" uri="{C3380CC4-5D6E-409C-BE32-E72D297353CC}">
              <c16:uniqueId val="{00000000-333A-46CD-BD5C-FA8E570D89A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8000">
          <a:srgbClr val="E1E7EF"/>
        </a:gs>
        <a:gs pos="36000">
          <a:schemeClr val="accent1">
            <a:lumMod val="20000"/>
            <a:lumOff val="80000"/>
          </a:schemeClr>
        </a:gs>
        <a:gs pos="100000">
          <a:schemeClr val="tx2">
            <a:lumMod val="60000"/>
            <a:lumOff val="40000"/>
            <a:alpha val="73000"/>
          </a:schemeClr>
        </a:gs>
        <a:gs pos="82000">
          <a:schemeClr val="accent1">
            <a:lumMod val="30000"/>
            <a:lumOff val="70000"/>
          </a:schemeClr>
        </a:gs>
      </a:gsLst>
      <a:lin ang="5400000" scaled="1"/>
      <a:tileRect/>
    </a:gradFill>
    <a:ln w="9525" cap="flat" cmpd="sng" algn="ctr">
      <a:solidFill>
        <a:schemeClr val="dk1">
          <a:lumMod val="25000"/>
          <a:lumOff val="75000"/>
        </a:schemeClr>
      </a:solidFill>
      <a:round/>
    </a:ln>
    <a:effectLst>
      <a:glow rad="101600">
        <a:schemeClr val="accent2">
          <a:satMod val="175000"/>
          <a:alpha val="40000"/>
        </a:schemeClr>
      </a:glow>
      <a:outerShdw blurRad="63500" sx="102000" sy="102000" algn="ctr" rotWithShape="0">
        <a:srgbClr val="FF0000">
          <a:alpha val="40000"/>
        </a:srgb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[Crypto_Analysis_Dashboard.xlsx]Pivot_Charts!PivotTable2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Top</a:t>
            </a:r>
            <a:r>
              <a:rPr lang="en-US" sz="1600" b="1" baseline="0">
                <a:solidFill>
                  <a:schemeClr val="accent2">
                    <a:lumMod val="75000"/>
                  </a:schemeClr>
                </a:solidFill>
              </a:rPr>
              <a:t> 10 coins by Price</a:t>
            </a:r>
            <a:endParaRPr lang="en-US" sz="1600" b="1">
              <a:solidFill>
                <a:schemeClr val="accent2">
                  <a:lumMod val="75000"/>
                </a:schemeClr>
              </a:solidFill>
            </a:endParaRPr>
          </a:p>
        </c:rich>
      </c:tx>
      <c:layout>
        <c:manualLayout>
          <c:xMode val="edge"/>
          <c:yMode val="edge"/>
          <c:x val="0.26943495098410941"/>
          <c:y val="5.0110260932661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7147557492087"/>
          <c:y val="0.23923086522374579"/>
          <c:w val="0.82542380368896962"/>
          <c:h val="0.48331715282228299"/>
        </c:manualLayout>
      </c:layout>
      <c:barChart>
        <c:barDir val="col"/>
        <c:grouping val="clustered"/>
        <c:varyColors val="0"/>
        <c:ser>
          <c:idx val="0"/>
          <c:order val="0"/>
          <c:tx>
            <c:strRef>
              <c:f>Pivot_Charts!$B$2</c:f>
              <c:strCache>
                <c:ptCount val="1"/>
                <c:pt idx="0">
                  <c:v>Total</c:v>
                </c:pt>
              </c:strCache>
            </c:strRef>
          </c:tx>
          <c:spPr>
            <a:solidFill>
              <a:schemeClr val="accent1"/>
            </a:solidFill>
            <a:ln>
              <a:noFill/>
            </a:ln>
            <a:effectLst/>
          </c:spPr>
          <c:invertIfNegative val="0"/>
          <c:cat>
            <c:strRef>
              <c:f>Pivot_Charts!$A$3:$A$13</c:f>
              <c:strCache>
                <c:ptCount val="10"/>
                <c:pt idx="0">
                  <c:v>Bitcoin</c:v>
                </c:pt>
                <c:pt idx="1">
                  <c:v>Ethereum</c:v>
                </c:pt>
                <c:pt idx="2">
                  <c:v>BNB</c:v>
                </c:pt>
                <c:pt idx="3">
                  <c:v>Solana</c:v>
                </c:pt>
                <c:pt idx="4">
                  <c:v>Zcash</c:v>
                </c:pt>
                <c:pt idx="5">
                  <c:v>AIHub</c:v>
                </c:pt>
                <c:pt idx="6">
                  <c:v>Tornado Cash</c:v>
                </c:pt>
                <c:pt idx="7">
                  <c:v>Bounce Token</c:v>
                </c:pt>
                <c:pt idx="8">
                  <c:v>Stonks</c:v>
                </c:pt>
                <c:pt idx="9">
                  <c:v>DeXe</c:v>
                </c:pt>
              </c:strCache>
            </c:strRef>
          </c:cat>
          <c:val>
            <c:numRef>
              <c:f>Pivot_Charts!$B$3:$B$13</c:f>
              <c:numCache>
                <c:formatCode>General</c:formatCode>
                <c:ptCount val="10"/>
                <c:pt idx="0">
                  <c:v>112396.23</c:v>
                </c:pt>
                <c:pt idx="1">
                  <c:v>4631.6899999999996</c:v>
                </c:pt>
                <c:pt idx="2">
                  <c:v>864.91</c:v>
                </c:pt>
                <c:pt idx="3">
                  <c:v>208.97</c:v>
                </c:pt>
                <c:pt idx="4">
                  <c:v>42.45</c:v>
                </c:pt>
                <c:pt idx="5">
                  <c:v>16.850000000000001</c:v>
                </c:pt>
                <c:pt idx="6">
                  <c:v>11.79</c:v>
                </c:pt>
                <c:pt idx="7">
                  <c:v>10.119999999999999</c:v>
                </c:pt>
                <c:pt idx="8">
                  <c:v>9.06</c:v>
                </c:pt>
                <c:pt idx="9">
                  <c:v>7.42</c:v>
                </c:pt>
              </c:numCache>
            </c:numRef>
          </c:val>
          <c:extLst>
            <c:ext xmlns:c16="http://schemas.microsoft.com/office/drawing/2014/chart" uri="{C3380CC4-5D6E-409C-BE32-E72D297353CC}">
              <c16:uniqueId val="{00000000-AA3D-4617-9383-CFA66C99354D}"/>
            </c:ext>
          </c:extLst>
        </c:ser>
        <c:dLbls>
          <c:showLegendKey val="0"/>
          <c:showVal val="0"/>
          <c:showCatName val="0"/>
          <c:showSerName val="0"/>
          <c:showPercent val="0"/>
          <c:showBubbleSize val="0"/>
        </c:dLbls>
        <c:gapWidth val="219"/>
        <c:overlap val="-27"/>
        <c:axId val="1934442240"/>
        <c:axId val="1934431680"/>
      </c:barChart>
      <c:catAx>
        <c:axId val="193444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431680"/>
        <c:crosses val="autoZero"/>
        <c:auto val="1"/>
        <c:lblAlgn val="ctr"/>
        <c:lblOffset val="100"/>
        <c:noMultiLvlLbl val="0"/>
      </c:catAx>
      <c:valAx>
        <c:axId val="193443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44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000">
          <a:srgbClr val="E1E7EF"/>
        </a:gs>
        <a:gs pos="36000">
          <a:schemeClr val="accent1">
            <a:lumMod val="20000"/>
            <a:lumOff val="80000"/>
          </a:schemeClr>
        </a:gs>
        <a:gs pos="100000">
          <a:schemeClr val="tx2">
            <a:lumMod val="60000"/>
            <a:lumOff val="40000"/>
            <a:alpha val="73000"/>
          </a:schemeClr>
        </a:gs>
        <a:gs pos="82000">
          <a:schemeClr val="accent1">
            <a:lumMod val="30000"/>
            <a:lumOff val="70000"/>
          </a:schemeClr>
        </a:gs>
      </a:gsLst>
      <a:lin ang="5400000" scaled="1"/>
    </a:gradFill>
    <a:ln w="9525" cap="flat" cmpd="sng" algn="ctr">
      <a:noFill/>
      <a:round/>
    </a:ln>
    <a:effectLst>
      <a:glow rad="38100">
        <a:schemeClr val="accent2">
          <a:satMod val="175000"/>
          <a:alpha val="45000"/>
        </a:schemeClr>
      </a:glow>
      <a:outerShdw blurRad="63500" sx="102000" sy="102000" algn="ctr" rotWithShape="0">
        <a:srgbClr val="FFC000">
          <a:alpha val="50000"/>
        </a:srgb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[Crypto_Analysis_Dashboard.xlsx]Pivot_Charts!PivotTable3</c:name>
    <c:fmtId val="1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chemeClr val="accent2">
                    <a:lumMod val="75000"/>
                  </a:schemeClr>
                </a:solidFill>
              </a:rPr>
              <a:t>Most</a:t>
            </a:r>
            <a:r>
              <a:rPr lang="en-US" sz="1600" b="1" baseline="0">
                <a:solidFill>
                  <a:schemeClr val="accent2">
                    <a:lumMod val="75000"/>
                  </a:schemeClr>
                </a:solidFill>
              </a:rPr>
              <a:t> Chnage in 1 hour</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992614768559852"/>
          <c:y val="0.17201821700964012"/>
          <c:w val="0.46717160208991981"/>
          <c:h val="0.7039909167584868"/>
        </c:manualLayout>
      </c:layout>
      <c:bar3DChart>
        <c:barDir val="bar"/>
        <c:grouping val="clustered"/>
        <c:varyColors val="0"/>
        <c:ser>
          <c:idx val="0"/>
          <c:order val="0"/>
          <c:tx>
            <c:strRef>
              <c:f>Pivot_Charts!$B$21</c:f>
              <c:strCache>
                <c:ptCount val="1"/>
                <c:pt idx="0">
                  <c:v>Total</c:v>
                </c:pt>
              </c:strCache>
            </c:strRef>
          </c:tx>
          <c:spPr>
            <a:solidFill>
              <a:schemeClr val="accent1"/>
            </a:solidFill>
            <a:ln>
              <a:noFill/>
            </a:ln>
            <a:effectLst/>
            <a:sp3d/>
          </c:spPr>
          <c:invertIfNegative val="0"/>
          <c:cat>
            <c:strRef>
              <c:f>Pivot_Charts!$A$22:$A$32</c:f>
              <c:strCache>
                <c:ptCount val="10"/>
                <c:pt idx="0">
                  <c:v>Bellscoin</c:v>
                </c:pt>
                <c:pt idx="1">
                  <c:v>Expand</c:v>
                </c:pt>
                <c:pt idx="2">
                  <c:v>HODL Coin</c:v>
                </c:pt>
                <c:pt idx="3">
                  <c:v>Lion Cat</c:v>
                </c:pt>
                <c:pt idx="4">
                  <c:v>Lumera Health</c:v>
                </c:pt>
                <c:pt idx="5">
                  <c:v>Pain (paintoken.com)</c:v>
                </c:pt>
                <c:pt idx="6">
                  <c:v>SIGMA</c:v>
                </c:pt>
                <c:pt idx="7">
                  <c:v>Solchat</c:v>
                </c:pt>
                <c:pt idx="8">
                  <c:v>XPIN Network</c:v>
                </c:pt>
                <c:pt idx="9">
                  <c:v>XPLA</c:v>
                </c:pt>
              </c:strCache>
            </c:strRef>
          </c:cat>
          <c:val>
            <c:numRef>
              <c:f>Pivot_Charts!$B$22:$B$32</c:f>
              <c:numCache>
                <c:formatCode>General</c:formatCode>
                <c:ptCount val="10"/>
                <c:pt idx="0">
                  <c:v>2.5999999999999999E-2</c:v>
                </c:pt>
                <c:pt idx="1">
                  <c:v>1.83E-2</c:v>
                </c:pt>
                <c:pt idx="2">
                  <c:v>4.2700000000000002E-2</c:v>
                </c:pt>
                <c:pt idx="3">
                  <c:v>2.9399999999999999E-2</c:v>
                </c:pt>
                <c:pt idx="4">
                  <c:v>1.66E-2</c:v>
                </c:pt>
                <c:pt idx="5">
                  <c:v>2.8500000000000001E-2</c:v>
                </c:pt>
                <c:pt idx="6">
                  <c:v>1.6400000000000001E-2</c:v>
                </c:pt>
                <c:pt idx="7">
                  <c:v>1.6199999999999999E-2</c:v>
                </c:pt>
                <c:pt idx="8">
                  <c:v>3.6900000000000002E-2</c:v>
                </c:pt>
                <c:pt idx="9">
                  <c:v>2.1600000000000001E-2</c:v>
                </c:pt>
              </c:numCache>
            </c:numRef>
          </c:val>
          <c:extLst>
            <c:ext xmlns:c16="http://schemas.microsoft.com/office/drawing/2014/chart" uri="{C3380CC4-5D6E-409C-BE32-E72D297353CC}">
              <c16:uniqueId val="{00000000-3B69-4ABA-B503-B3B45EB4FAAC}"/>
            </c:ext>
          </c:extLst>
        </c:ser>
        <c:dLbls>
          <c:showLegendKey val="0"/>
          <c:showVal val="0"/>
          <c:showCatName val="0"/>
          <c:showSerName val="0"/>
          <c:showPercent val="0"/>
          <c:showBubbleSize val="0"/>
        </c:dLbls>
        <c:gapWidth val="150"/>
        <c:shape val="box"/>
        <c:axId val="1250381904"/>
        <c:axId val="1250384784"/>
        <c:axId val="0"/>
      </c:bar3DChart>
      <c:catAx>
        <c:axId val="1250381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0384784"/>
        <c:crosses val="autoZero"/>
        <c:auto val="1"/>
        <c:lblAlgn val="ctr"/>
        <c:lblOffset val="100"/>
        <c:noMultiLvlLbl val="0"/>
      </c:catAx>
      <c:valAx>
        <c:axId val="125038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038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3000">
          <a:srgbClr val="E1E7EF"/>
        </a:gs>
        <a:gs pos="36000">
          <a:schemeClr val="accent1">
            <a:lumMod val="20000"/>
            <a:lumOff val="80000"/>
          </a:schemeClr>
        </a:gs>
        <a:gs pos="100000">
          <a:schemeClr val="tx2">
            <a:lumMod val="60000"/>
            <a:lumOff val="40000"/>
            <a:alpha val="73000"/>
          </a:schemeClr>
        </a:gs>
        <a:gs pos="82000">
          <a:schemeClr val="accent1">
            <a:lumMod val="30000"/>
            <a:lumOff val="70000"/>
          </a:schemeClr>
        </a:gs>
      </a:gsLst>
      <a:lin ang="5400000" scaled="1"/>
    </a:gradFill>
    <a:ln w="9525" cap="flat" cmpd="sng" algn="ctr">
      <a:solidFill>
        <a:schemeClr val="tx1">
          <a:lumMod val="15000"/>
          <a:lumOff val="85000"/>
        </a:schemeClr>
      </a:solidFill>
      <a:round/>
    </a:ln>
    <a:effectLst>
      <a:glow rad="101600">
        <a:schemeClr val="accent2">
          <a:satMod val="175000"/>
          <a:alpha val="40000"/>
        </a:schemeClr>
      </a:glow>
      <a:outerShdw blurRad="63500" sx="102000" sy="102000" algn="ctr" rotWithShape="0">
        <a:schemeClr val="accent6">
          <a:lumMod val="75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[Crypto_Analysis_Dashboard.xlsx]Pivot_Charts!PivotTable4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Price</a:t>
            </a:r>
            <a:r>
              <a:rPr lang="en-IN" sz="1600" b="1" baseline="0">
                <a:solidFill>
                  <a:schemeClr val="accent2">
                    <a:lumMod val="75000"/>
                  </a:schemeClr>
                </a:solidFill>
              </a:rPr>
              <a:t> Vs Dollar Supply</a:t>
            </a:r>
            <a:endParaRPr lang="en-IN"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Pivot_Charts!$B$38</c:f>
              <c:strCache>
                <c:ptCount val="1"/>
                <c:pt idx="0">
                  <c:v>Dollar Volume per Supply</c:v>
                </c:pt>
              </c:strCache>
            </c:strRef>
          </c:tx>
          <c:spPr>
            <a:solidFill>
              <a:schemeClr val="accent1"/>
            </a:solidFill>
            <a:ln>
              <a:noFill/>
            </a:ln>
            <a:effectLst/>
          </c:spPr>
          <c:invertIfNegative val="0"/>
          <c:cat>
            <c:strRef>
              <c:f>Pivot_Charts!$A$39:$A$49</c:f>
              <c:strCache>
                <c:ptCount val="10"/>
                <c:pt idx="0">
                  <c:v>Bitcoin</c:v>
                </c:pt>
                <c:pt idx="1">
                  <c:v>BNB</c:v>
                </c:pt>
                <c:pt idx="2">
                  <c:v>Bounce Token</c:v>
                </c:pt>
                <c:pt idx="3">
                  <c:v>Ethereum</c:v>
                </c:pt>
                <c:pt idx="4">
                  <c:v>Lumera Health</c:v>
                </c:pt>
                <c:pt idx="5">
                  <c:v>MetYa</c:v>
                </c:pt>
                <c:pt idx="6">
                  <c:v>Solana</c:v>
                </c:pt>
                <c:pt idx="7">
                  <c:v>StablR USD</c:v>
                </c:pt>
                <c:pt idx="8">
                  <c:v>Tether</c:v>
                </c:pt>
                <c:pt idx="9">
                  <c:v>Zcash</c:v>
                </c:pt>
              </c:strCache>
            </c:strRef>
          </c:cat>
          <c:val>
            <c:numRef>
              <c:f>Pivot_Charts!$B$39:$B$49</c:f>
              <c:numCache>
                <c:formatCode>General</c:formatCode>
                <c:ptCount val="10"/>
                <c:pt idx="0">
                  <c:v>3073.6519340030136</c:v>
                </c:pt>
                <c:pt idx="1">
                  <c:v>16.360382876220562</c:v>
                </c:pt>
                <c:pt idx="2">
                  <c:v>4.5658226600985223</c:v>
                </c:pt>
                <c:pt idx="3">
                  <c:v>362.17572245236124</c:v>
                </c:pt>
                <c:pt idx="4">
                  <c:v>0.62520384615384617</c:v>
                </c:pt>
                <c:pt idx="5">
                  <c:v>0.38257109462800631</c:v>
                </c:pt>
                <c:pt idx="6">
                  <c:v>18.730564196274994</c:v>
                </c:pt>
                <c:pt idx="7">
                  <c:v>5.7061885227272731</c:v>
                </c:pt>
                <c:pt idx="8">
                  <c:v>0.70126850046052636</c:v>
                </c:pt>
                <c:pt idx="9">
                  <c:v>4.3963110012360938</c:v>
                </c:pt>
              </c:numCache>
            </c:numRef>
          </c:val>
          <c:extLst>
            <c:ext xmlns:c16="http://schemas.microsoft.com/office/drawing/2014/chart" uri="{C3380CC4-5D6E-409C-BE32-E72D297353CC}">
              <c16:uniqueId val="{00000000-AE17-42D5-875B-87EF66756A0A}"/>
            </c:ext>
          </c:extLst>
        </c:ser>
        <c:ser>
          <c:idx val="1"/>
          <c:order val="1"/>
          <c:tx>
            <c:strRef>
              <c:f>Pivot_Charts!$C$38</c:f>
              <c:strCache>
                <c:ptCount val="1"/>
                <c:pt idx="0">
                  <c:v>  Price (USD)</c:v>
                </c:pt>
              </c:strCache>
            </c:strRef>
          </c:tx>
          <c:spPr>
            <a:solidFill>
              <a:schemeClr val="accent2"/>
            </a:solidFill>
            <a:ln>
              <a:noFill/>
            </a:ln>
            <a:effectLst/>
          </c:spPr>
          <c:invertIfNegative val="0"/>
          <c:cat>
            <c:strRef>
              <c:f>Pivot_Charts!$A$39:$A$49</c:f>
              <c:strCache>
                <c:ptCount val="10"/>
                <c:pt idx="0">
                  <c:v>Bitcoin</c:v>
                </c:pt>
                <c:pt idx="1">
                  <c:v>BNB</c:v>
                </c:pt>
                <c:pt idx="2">
                  <c:v>Bounce Token</c:v>
                </c:pt>
                <c:pt idx="3">
                  <c:v>Ethereum</c:v>
                </c:pt>
                <c:pt idx="4">
                  <c:v>Lumera Health</c:v>
                </c:pt>
                <c:pt idx="5">
                  <c:v>MetYa</c:v>
                </c:pt>
                <c:pt idx="6">
                  <c:v>Solana</c:v>
                </c:pt>
                <c:pt idx="7">
                  <c:v>StablR USD</c:v>
                </c:pt>
                <c:pt idx="8">
                  <c:v>Tether</c:v>
                </c:pt>
                <c:pt idx="9">
                  <c:v>Zcash</c:v>
                </c:pt>
              </c:strCache>
            </c:strRef>
          </c:cat>
          <c:val>
            <c:numRef>
              <c:f>Pivot_Charts!$C$39:$C$49</c:f>
              <c:numCache>
                <c:formatCode>General</c:formatCode>
                <c:ptCount val="10"/>
                <c:pt idx="0">
                  <c:v>112396.23</c:v>
                </c:pt>
                <c:pt idx="1">
                  <c:v>864.91</c:v>
                </c:pt>
                <c:pt idx="2">
                  <c:v>10.119999999999999</c:v>
                </c:pt>
                <c:pt idx="3">
                  <c:v>4631.6899999999996</c:v>
                </c:pt>
                <c:pt idx="4">
                  <c:v>2.63</c:v>
                </c:pt>
                <c:pt idx="5">
                  <c:v>0.249</c:v>
                </c:pt>
                <c:pt idx="6">
                  <c:v>208.97</c:v>
                </c:pt>
                <c:pt idx="7">
                  <c:v>0.99929999999999997</c:v>
                </c:pt>
                <c:pt idx="8">
                  <c:v>1</c:v>
                </c:pt>
                <c:pt idx="9">
                  <c:v>42.45</c:v>
                </c:pt>
              </c:numCache>
            </c:numRef>
          </c:val>
          <c:extLst>
            <c:ext xmlns:c16="http://schemas.microsoft.com/office/drawing/2014/chart" uri="{C3380CC4-5D6E-409C-BE32-E72D297353CC}">
              <c16:uniqueId val="{00000001-AE17-42D5-875B-87EF66756A0A}"/>
            </c:ext>
          </c:extLst>
        </c:ser>
        <c:dLbls>
          <c:showLegendKey val="0"/>
          <c:showVal val="0"/>
          <c:showCatName val="0"/>
          <c:showSerName val="0"/>
          <c:showPercent val="0"/>
          <c:showBubbleSize val="0"/>
        </c:dLbls>
        <c:gapWidth val="219"/>
        <c:overlap val="-27"/>
        <c:axId val="2033131344"/>
        <c:axId val="2033130384"/>
      </c:barChart>
      <c:catAx>
        <c:axId val="203313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30384"/>
        <c:crosses val="autoZero"/>
        <c:auto val="1"/>
        <c:lblAlgn val="ctr"/>
        <c:lblOffset val="100"/>
        <c:noMultiLvlLbl val="0"/>
      </c:catAx>
      <c:valAx>
        <c:axId val="203313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3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3000">
          <a:srgbClr val="E1E7EF"/>
        </a:gs>
        <a:gs pos="36000">
          <a:schemeClr val="accent1">
            <a:lumMod val="20000"/>
            <a:lumOff val="80000"/>
          </a:schemeClr>
        </a:gs>
        <a:gs pos="100000">
          <a:schemeClr val="tx2">
            <a:lumMod val="60000"/>
            <a:lumOff val="40000"/>
            <a:alpha val="73000"/>
          </a:schemeClr>
        </a:gs>
        <a:gs pos="82000">
          <a:schemeClr val="accent1">
            <a:lumMod val="30000"/>
            <a:lumOff val="70000"/>
          </a:schemeClr>
        </a:gs>
      </a:gsLst>
      <a:lin ang="5400000" scaled="1"/>
    </a:gradFill>
    <a:ln w="9525" cap="flat" cmpd="sng" algn="ctr">
      <a:solidFill>
        <a:schemeClr val="tx1">
          <a:lumMod val="15000"/>
          <a:lumOff val="85000"/>
        </a:schemeClr>
      </a:solidFill>
      <a:round/>
    </a:ln>
    <a:effectLst>
      <a:glow rad="101600">
        <a:srgbClr val="C00000">
          <a:alpha val="20000"/>
        </a:srgbClr>
      </a:glow>
      <a:outerShdw blurRad="63500" sx="102000" sy="102000" algn="ctr" rotWithShape="0">
        <a:srgbClr val="FFC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accent2">
                    <a:lumMod val="75000"/>
                  </a:schemeClr>
                </a:solidFill>
              </a:rPr>
              <a:t>Market Capital Shares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55-48A2-A16B-05AEC1D6B98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55-48A2-A16B-05AEC1D6B98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555-48A2-A16B-05AEC1D6B98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555-48A2-A16B-05AEC1D6B98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555-48A2-A16B-05AEC1D6B98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555-48A2-A16B-05AEC1D6B98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Pivot_Charts!$Y$5:$Y$10</c:f>
              <c:strCache>
                <c:ptCount val="6"/>
                <c:pt idx="0">
                  <c:v>Bitcoin</c:v>
                </c:pt>
                <c:pt idx="1">
                  <c:v>Ethereum</c:v>
                </c:pt>
                <c:pt idx="2">
                  <c:v>XRP</c:v>
                </c:pt>
                <c:pt idx="3">
                  <c:v>Tether</c:v>
                </c:pt>
                <c:pt idx="4">
                  <c:v>BNB</c:v>
                </c:pt>
                <c:pt idx="5">
                  <c:v>Others</c:v>
                </c:pt>
              </c:strCache>
            </c:strRef>
          </c:cat>
          <c:val>
            <c:numRef>
              <c:f>Pivot_Charts!$Z$5:$Z$10</c:f>
              <c:numCache>
                <c:formatCode>General</c:formatCode>
                <c:ptCount val="6"/>
                <c:pt idx="0">
                  <c:v>2236591973065</c:v>
                </c:pt>
                <c:pt idx="1">
                  <c:v>558774287294</c:v>
                </c:pt>
                <c:pt idx="2">
                  <c:v>179761935139</c:v>
                </c:pt>
                <c:pt idx="3">
                  <c:v>167211922205</c:v>
                </c:pt>
                <c:pt idx="4">
                  <c:v>120460279991</c:v>
                </c:pt>
                <c:pt idx="5">
                  <c:v>300038169740</c:v>
                </c:pt>
              </c:numCache>
            </c:numRef>
          </c:val>
          <c:extLst>
            <c:ext xmlns:c16="http://schemas.microsoft.com/office/drawing/2014/chart" uri="{C3380CC4-5D6E-409C-BE32-E72D297353CC}">
              <c16:uniqueId val="{0000000C-E555-48A2-A16B-05AEC1D6B982}"/>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8000">
          <a:srgbClr val="E1E7EF"/>
        </a:gs>
        <a:gs pos="36000">
          <a:schemeClr val="accent1">
            <a:lumMod val="20000"/>
            <a:lumOff val="80000"/>
          </a:schemeClr>
        </a:gs>
        <a:gs pos="100000">
          <a:schemeClr val="tx2">
            <a:lumMod val="60000"/>
            <a:lumOff val="40000"/>
            <a:alpha val="73000"/>
          </a:schemeClr>
        </a:gs>
        <a:gs pos="82000">
          <a:schemeClr val="accent1">
            <a:lumMod val="30000"/>
            <a:lumOff val="70000"/>
          </a:schemeClr>
        </a:gs>
      </a:gsLst>
      <a:lin ang="5400000" scaled="1"/>
      <a:tileRect/>
    </a:gradFill>
    <a:ln w="9525" cap="flat" cmpd="sng" algn="ctr">
      <a:solidFill>
        <a:schemeClr val="dk1">
          <a:lumMod val="25000"/>
          <a:lumOff val="75000"/>
        </a:schemeClr>
      </a:solidFill>
      <a:round/>
    </a:ln>
    <a:effectLst>
      <a:glow rad="101600">
        <a:schemeClr val="accent2">
          <a:satMod val="175000"/>
          <a:alpha val="40000"/>
        </a:schemeClr>
      </a:glow>
      <a:outerShdw blurRad="63500" sx="102000" sy="102000" algn="ctr" rotWithShape="0">
        <a:srgbClr val="FF0000">
          <a:alpha val="40000"/>
        </a:srgb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552450</xdr:colOff>
      <xdr:row>1</xdr:row>
      <xdr:rowOff>164293</xdr:rowOff>
    </xdr:from>
    <xdr:to>
      <xdr:col>10</xdr:col>
      <xdr:colOff>143387</xdr:colOff>
      <xdr:row>14</xdr:row>
      <xdr:rowOff>93477</xdr:rowOff>
    </xdr:to>
    <xdr:graphicFrame macro="">
      <xdr:nvGraphicFramePr>
        <xdr:cNvPr id="2" name="Chart 1">
          <a:extLst>
            <a:ext uri="{FF2B5EF4-FFF2-40B4-BE49-F238E27FC236}">
              <a16:creationId xmlns:a16="http://schemas.microsoft.com/office/drawing/2014/main" id="{6F694A8A-7E4F-BBE4-3922-533A460D1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572912</xdr:colOff>
      <xdr:row>2</xdr:row>
      <xdr:rowOff>5847</xdr:rowOff>
    </xdr:from>
    <xdr:to>
      <xdr:col>14</xdr:col>
      <xdr:colOff>587425</xdr:colOff>
      <xdr:row>16</xdr:row>
      <xdr:rowOff>2067</xdr:rowOff>
    </xdr:to>
    <mc:AlternateContent xmlns:mc="http://schemas.openxmlformats.org/markup-compatibility/2006">
      <mc:Choice xmlns:a14="http://schemas.microsoft.com/office/drawing/2010/main" Requires="a14">
        <xdr:graphicFrame macro="">
          <xdr:nvGraphicFramePr>
            <xdr:cNvPr id="4" name="Price Range">
              <a:extLst>
                <a:ext uri="{FF2B5EF4-FFF2-40B4-BE49-F238E27FC236}">
                  <a16:creationId xmlns:a16="http://schemas.microsoft.com/office/drawing/2014/main" id="{E2F0FFD8-8507-090B-1BBF-116964B1E56F}"/>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dr:sp macro="" textlink="">
          <xdr:nvSpPr>
            <xdr:cNvPr id="0" name=""/>
            <xdr:cNvSpPr>
              <a:spLocks noTextEdit="1"/>
            </xdr:cNvSpPr>
          </xdr:nvSpPr>
          <xdr:spPr>
            <a:xfrm>
              <a:off x="10714769" y="368704"/>
              <a:ext cx="1865085" cy="2536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243920</xdr:colOff>
      <xdr:row>18</xdr:row>
      <xdr:rowOff>120953</xdr:rowOff>
    </xdr:from>
    <xdr:to>
      <xdr:col>9</xdr:col>
      <xdr:colOff>574524</xdr:colOff>
      <xdr:row>33</xdr:row>
      <xdr:rowOff>81441</xdr:rowOff>
    </xdr:to>
    <xdr:graphicFrame macro="">
      <xdr:nvGraphicFramePr>
        <xdr:cNvPr id="5" name="Chart 4">
          <a:extLst>
            <a:ext uri="{FF2B5EF4-FFF2-40B4-BE49-F238E27FC236}">
              <a16:creationId xmlns:a16="http://schemas.microsoft.com/office/drawing/2014/main" id="{4F160F1F-E2D2-1C3A-68FB-CB7E2EAE0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286398</xdr:colOff>
      <xdr:row>36</xdr:row>
      <xdr:rowOff>177022</xdr:rowOff>
    </xdr:from>
    <xdr:to>
      <xdr:col>11</xdr:col>
      <xdr:colOff>594827</xdr:colOff>
      <xdr:row>52</xdr:row>
      <xdr:rowOff>17365</xdr:rowOff>
    </xdr:to>
    <xdr:graphicFrame macro="">
      <xdr:nvGraphicFramePr>
        <xdr:cNvPr id="6" name="Chart 5">
          <a:extLst>
            <a:ext uri="{FF2B5EF4-FFF2-40B4-BE49-F238E27FC236}">
              <a16:creationId xmlns:a16="http://schemas.microsoft.com/office/drawing/2014/main" id="{0F39F72A-AC9E-0CE3-0DC8-80A785C7E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440613</xdr:colOff>
      <xdr:row>5</xdr:row>
      <xdr:rowOff>86309</xdr:rowOff>
    </xdr:from>
    <xdr:to>
      <xdr:col>22</xdr:col>
      <xdr:colOff>207347</xdr:colOff>
      <xdr:row>20</xdr:row>
      <xdr:rowOff>108081</xdr:rowOff>
    </xdr:to>
    <xdr:graphicFrame macro="">
      <xdr:nvGraphicFramePr>
        <xdr:cNvPr id="7" name="Chart 6">
          <a:extLst>
            <a:ext uri="{FF2B5EF4-FFF2-40B4-BE49-F238E27FC236}">
              <a16:creationId xmlns:a16="http://schemas.microsoft.com/office/drawing/2014/main" id="{1E24108D-96C2-A689-30AD-F033E8EC2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103673</xdr:colOff>
      <xdr:row>24</xdr:row>
      <xdr:rowOff>155511</xdr:rowOff>
    </xdr:from>
    <xdr:to>
      <xdr:col>25</xdr:col>
      <xdr:colOff>634999</xdr:colOff>
      <xdr:row>31</xdr:row>
      <xdr:rowOff>155511</xdr:rowOff>
    </xdr:to>
    <xdr:sp macro="" textlink="U29">
      <xdr:nvSpPr>
        <xdr:cNvPr id="8" name="Rectangle: Rounded Corners 7">
          <a:extLst>
            <a:ext uri="{FF2B5EF4-FFF2-40B4-BE49-F238E27FC236}">
              <a16:creationId xmlns:a16="http://schemas.microsoft.com/office/drawing/2014/main" id="{845B12A6-5671-0595-E220-934E4912C7D9}"/>
            </a:ext>
          </a:extLst>
        </xdr:cNvPr>
        <xdr:cNvSpPr/>
      </xdr:nvSpPr>
      <xdr:spPr>
        <a:xfrm>
          <a:off x="17209795" y="4509797"/>
          <a:ext cx="2358571" cy="1270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770ED1-2A72-4862-B675-36F6449ADEBF}" type="TxLink">
            <a:rPr lang="en-US" sz="2000" b="1" i="0" u="none" strike="noStrike">
              <a:solidFill>
                <a:srgbClr val="000000"/>
              </a:solidFill>
              <a:latin typeface="Calibri"/>
              <a:ea typeface="Calibri"/>
              <a:cs typeface="Calibri"/>
            </a:rPr>
            <a:pPr algn="ctr"/>
            <a:t>3.56284E+12</a:t>
          </a:fld>
          <a:endParaRPr lang="en-IN" sz="2000" b="1"/>
        </a:p>
      </xdr:txBody>
    </xdr:sp>
    <xdr:clientData/>
  </xdr:twoCellAnchor>
  <xdr:twoCellAnchor>
    <xdr:from>
      <xdr:col>22</xdr:col>
      <xdr:colOff>116632</xdr:colOff>
      <xdr:row>24</xdr:row>
      <xdr:rowOff>168469</xdr:rowOff>
    </xdr:from>
    <xdr:to>
      <xdr:col>25</xdr:col>
      <xdr:colOff>622041</xdr:colOff>
      <xdr:row>27</xdr:row>
      <xdr:rowOff>64796</xdr:rowOff>
    </xdr:to>
    <xdr:sp macro="" textlink="">
      <xdr:nvSpPr>
        <xdr:cNvPr id="9" name="TextBox 8">
          <a:extLst>
            <a:ext uri="{FF2B5EF4-FFF2-40B4-BE49-F238E27FC236}">
              <a16:creationId xmlns:a16="http://schemas.microsoft.com/office/drawing/2014/main" id="{D36196AC-C291-3C57-9337-957EF265A3AD}"/>
            </a:ext>
          </a:extLst>
        </xdr:cNvPr>
        <xdr:cNvSpPr txBox="1"/>
      </xdr:nvSpPr>
      <xdr:spPr>
        <a:xfrm>
          <a:off x="17222754" y="4522755"/>
          <a:ext cx="2332654" cy="44061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Sum of Market Capital</a:t>
          </a:r>
        </a:p>
        <a:p>
          <a:pPr algn="ctr"/>
          <a:endParaRPr lang="en-IN" sz="1600" b="1">
            <a:solidFill>
              <a:schemeClr val="accent2">
                <a:lumMod val="75000"/>
              </a:schemeClr>
            </a:solidFill>
          </a:endParaRPr>
        </a:p>
      </xdr:txBody>
    </xdr:sp>
    <xdr:clientData/>
  </xdr:twoCellAnchor>
  <xdr:twoCellAnchor>
    <xdr:from>
      <xdr:col>25</xdr:col>
      <xdr:colOff>933062</xdr:colOff>
      <xdr:row>17</xdr:row>
      <xdr:rowOff>103674</xdr:rowOff>
    </xdr:from>
    <xdr:to>
      <xdr:col>26</xdr:col>
      <xdr:colOff>875523</xdr:colOff>
      <xdr:row>22</xdr:row>
      <xdr:rowOff>110931</xdr:rowOff>
    </xdr:to>
    <xdr:sp macro="" textlink="">
      <xdr:nvSpPr>
        <xdr:cNvPr id="10" name="Rectangle: Rounded Corners 9">
          <a:extLst>
            <a:ext uri="{FF2B5EF4-FFF2-40B4-BE49-F238E27FC236}">
              <a16:creationId xmlns:a16="http://schemas.microsoft.com/office/drawing/2014/main" id="{EEA77A98-56A2-3215-7527-60413D0C725F}"/>
            </a:ext>
          </a:extLst>
        </xdr:cNvPr>
        <xdr:cNvSpPr/>
      </xdr:nvSpPr>
      <xdr:spPr>
        <a:xfrm>
          <a:off x="19866429" y="3187960"/>
          <a:ext cx="9144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466531</xdr:colOff>
      <xdr:row>43</xdr:row>
      <xdr:rowOff>142551</xdr:rowOff>
    </xdr:from>
    <xdr:to>
      <xdr:col>20</xdr:col>
      <xdr:colOff>2216020</xdr:colOff>
      <xdr:row>50</xdr:row>
      <xdr:rowOff>142551</xdr:rowOff>
    </xdr:to>
    <xdr:sp macro="" textlink="T38">
      <xdr:nvSpPr>
        <xdr:cNvPr id="11" name="Rectangle: Rounded Corners 10">
          <a:extLst>
            <a:ext uri="{FF2B5EF4-FFF2-40B4-BE49-F238E27FC236}">
              <a16:creationId xmlns:a16="http://schemas.microsoft.com/office/drawing/2014/main" id="{59B22354-BD28-4A91-BCBD-65D072B6C1F5}"/>
            </a:ext>
          </a:extLst>
        </xdr:cNvPr>
        <xdr:cNvSpPr/>
      </xdr:nvSpPr>
      <xdr:spPr>
        <a:xfrm>
          <a:off x="13801531" y="7943980"/>
          <a:ext cx="2358571" cy="1270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AA367B-38EC-477C-80DB-491FE04ECBB4}" type="TxLink">
            <a:rPr lang="en-US" sz="2000" b="1" i="0" u="none" strike="noStrike">
              <a:solidFill>
                <a:srgbClr val="000000"/>
              </a:solidFill>
              <a:latin typeface="Calibri"/>
              <a:ea typeface="Calibri"/>
              <a:cs typeface="Calibri"/>
            </a:rPr>
            <a:t>112396.23</a:t>
          </a:fld>
          <a:endParaRPr lang="en-IN" sz="4000" b="1"/>
        </a:p>
      </xdr:txBody>
    </xdr:sp>
    <xdr:clientData/>
  </xdr:twoCellAnchor>
  <xdr:twoCellAnchor>
    <xdr:from>
      <xdr:col>19</xdr:col>
      <xdr:colOff>479489</xdr:colOff>
      <xdr:row>43</xdr:row>
      <xdr:rowOff>116631</xdr:rowOff>
    </xdr:from>
    <xdr:to>
      <xdr:col>20</xdr:col>
      <xdr:colOff>2203061</xdr:colOff>
      <xdr:row>46</xdr:row>
      <xdr:rowOff>12958</xdr:rowOff>
    </xdr:to>
    <xdr:sp macro="" textlink="">
      <xdr:nvSpPr>
        <xdr:cNvPr id="12" name="TextBox 11">
          <a:extLst>
            <a:ext uri="{FF2B5EF4-FFF2-40B4-BE49-F238E27FC236}">
              <a16:creationId xmlns:a16="http://schemas.microsoft.com/office/drawing/2014/main" id="{353091AF-B4C1-4B7E-861A-B1BAAF9E488F}"/>
            </a:ext>
          </a:extLst>
        </xdr:cNvPr>
        <xdr:cNvSpPr txBox="1"/>
      </xdr:nvSpPr>
      <xdr:spPr>
        <a:xfrm>
          <a:off x="13814489" y="7918060"/>
          <a:ext cx="2332654" cy="44061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Price</a:t>
          </a:r>
          <a:r>
            <a:rPr lang="en-IN" sz="1600" b="1" baseline="0">
              <a:solidFill>
                <a:schemeClr val="accent2">
                  <a:lumMod val="75000"/>
                </a:schemeClr>
              </a:solidFill>
            </a:rPr>
            <a:t> of Top Coin</a:t>
          </a:r>
          <a:endParaRPr lang="en-IN" sz="1600" b="1">
            <a:solidFill>
              <a:schemeClr val="accent2">
                <a:lumMod val="75000"/>
              </a:schemeClr>
            </a:solidFill>
          </a:endParaRPr>
        </a:p>
        <a:p>
          <a:pPr algn="ctr"/>
          <a:endParaRPr lang="en-IN" sz="1600" b="1">
            <a:solidFill>
              <a:schemeClr val="accent2">
                <a:lumMod val="75000"/>
              </a:schemeClr>
            </a:solidFill>
          </a:endParaRPr>
        </a:p>
      </xdr:txBody>
    </xdr:sp>
    <xdr:clientData/>
  </xdr:twoCellAnchor>
  <xdr:twoCellAnchor>
    <xdr:from>
      <xdr:col>14</xdr:col>
      <xdr:colOff>204237</xdr:colOff>
      <xdr:row>43</xdr:row>
      <xdr:rowOff>48726</xdr:rowOff>
    </xdr:from>
    <xdr:to>
      <xdr:col>18</xdr:col>
      <xdr:colOff>126482</xdr:colOff>
      <xdr:row>50</xdr:row>
      <xdr:rowOff>48726</xdr:rowOff>
    </xdr:to>
    <xdr:sp macro="" textlink="T36">
      <xdr:nvSpPr>
        <xdr:cNvPr id="13" name="Rectangle: Rounded Corners 12">
          <a:extLst>
            <a:ext uri="{FF2B5EF4-FFF2-40B4-BE49-F238E27FC236}">
              <a16:creationId xmlns:a16="http://schemas.microsoft.com/office/drawing/2014/main" id="{24356F1C-7600-4422-B3D6-33A561CD6BAE}"/>
            </a:ext>
          </a:extLst>
        </xdr:cNvPr>
        <xdr:cNvSpPr/>
      </xdr:nvSpPr>
      <xdr:spPr>
        <a:xfrm>
          <a:off x="10493829" y="7850155"/>
          <a:ext cx="2358571" cy="1270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A22CC0-1BAE-48B9-BEB7-B0582905777A}" type="TxLink">
            <a:rPr lang="en-US" sz="2000" b="1" i="0" u="none" strike="noStrike">
              <a:solidFill>
                <a:srgbClr val="000000"/>
              </a:solidFill>
              <a:latin typeface="Calibri"/>
              <a:ea typeface="Calibri"/>
              <a:cs typeface="Calibri"/>
            </a:rPr>
            <a:t>Bitcoin</a:t>
          </a:fld>
          <a:endParaRPr lang="en-IN" sz="4000" b="1"/>
        </a:p>
      </xdr:txBody>
    </xdr:sp>
    <xdr:clientData/>
  </xdr:twoCellAnchor>
  <xdr:twoCellAnchor>
    <xdr:from>
      <xdr:col>14</xdr:col>
      <xdr:colOff>217196</xdr:colOff>
      <xdr:row>43</xdr:row>
      <xdr:rowOff>22807</xdr:rowOff>
    </xdr:from>
    <xdr:to>
      <xdr:col>18</xdr:col>
      <xdr:colOff>113524</xdr:colOff>
      <xdr:row>45</xdr:row>
      <xdr:rowOff>100562</xdr:rowOff>
    </xdr:to>
    <xdr:sp macro="" textlink="">
      <xdr:nvSpPr>
        <xdr:cNvPr id="14" name="TextBox 13">
          <a:extLst>
            <a:ext uri="{FF2B5EF4-FFF2-40B4-BE49-F238E27FC236}">
              <a16:creationId xmlns:a16="http://schemas.microsoft.com/office/drawing/2014/main" id="{94A513D9-CEBA-44B8-A08E-F19A43508906}"/>
            </a:ext>
          </a:extLst>
        </xdr:cNvPr>
        <xdr:cNvSpPr txBox="1"/>
      </xdr:nvSpPr>
      <xdr:spPr>
        <a:xfrm>
          <a:off x="10506788" y="7824236"/>
          <a:ext cx="2332654" cy="44061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Top</a:t>
          </a:r>
          <a:r>
            <a:rPr lang="en-IN" sz="1600" b="1" baseline="0">
              <a:solidFill>
                <a:schemeClr val="accent2">
                  <a:lumMod val="75000"/>
                </a:schemeClr>
              </a:solidFill>
            </a:rPr>
            <a:t> Price Coin</a:t>
          </a:r>
          <a:endParaRPr lang="en-IN" sz="1600" b="1">
            <a:solidFill>
              <a:schemeClr val="accent2">
                <a:lumMod val="75000"/>
              </a:schemeClr>
            </a:solidFill>
          </a:endParaRPr>
        </a:p>
        <a:p>
          <a:pPr algn="ctr"/>
          <a:endParaRPr lang="en-IN" sz="1600" b="1">
            <a:solidFill>
              <a:schemeClr val="accent2">
                <a:lumMod val="75000"/>
              </a:schemeClr>
            </a:solidFill>
          </a:endParaRPr>
        </a:p>
      </xdr:txBody>
    </xdr:sp>
    <xdr:clientData/>
  </xdr:twoCellAnchor>
  <xdr:twoCellAnchor>
    <xdr:from>
      <xdr:col>22</xdr:col>
      <xdr:colOff>84494</xdr:colOff>
      <xdr:row>43</xdr:row>
      <xdr:rowOff>110412</xdr:rowOff>
    </xdr:from>
    <xdr:to>
      <xdr:col>25</xdr:col>
      <xdr:colOff>615820</xdr:colOff>
      <xdr:row>50</xdr:row>
      <xdr:rowOff>110412</xdr:rowOff>
    </xdr:to>
    <xdr:sp macro="" textlink="U35">
      <xdr:nvSpPr>
        <xdr:cNvPr id="15" name="Rectangle: Rounded Corners 14">
          <a:extLst>
            <a:ext uri="{FF2B5EF4-FFF2-40B4-BE49-F238E27FC236}">
              <a16:creationId xmlns:a16="http://schemas.microsoft.com/office/drawing/2014/main" id="{09CC3538-38F2-4A10-A3B7-D7DCE22E3D4A}"/>
            </a:ext>
          </a:extLst>
        </xdr:cNvPr>
        <xdr:cNvSpPr/>
      </xdr:nvSpPr>
      <xdr:spPr>
        <a:xfrm>
          <a:off x="17190616" y="7911841"/>
          <a:ext cx="2358571" cy="1270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5D979D-F5F9-470B-BD02-39830FB5067A}" type="TxLink">
            <a:rPr lang="en-US" sz="2000" b="1" i="0" u="none" strike="noStrike">
              <a:solidFill>
                <a:srgbClr val="000000"/>
              </a:solidFill>
              <a:latin typeface="Calibri"/>
              <a:ea typeface="Calibri"/>
              <a:cs typeface="Calibri"/>
            </a:rPr>
            <a:t>4.43757E+15</a:t>
          </a:fld>
          <a:endParaRPr lang="en-IN" sz="4000" b="1"/>
        </a:p>
      </xdr:txBody>
    </xdr:sp>
    <xdr:clientData/>
  </xdr:twoCellAnchor>
  <xdr:twoCellAnchor>
    <xdr:from>
      <xdr:col>22</xdr:col>
      <xdr:colOff>71535</xdr:colOff>
      <xdr:row>43</xdr:row>
      <xdr:rowOff>58574</xdr:rowOff>
    </xdr:from>
    <xdr:to>
      <xdr:col>25</xdr:col>
      <xdr:colOff>576944</xdr:colOff>
      <xdr:row>45</xdr:row>
      <xdr:rowOff>136329</xdr:rowOff>
    </xdr:to>
    <xdr:sp macro="" textlink="">
      <xdr:nvSpPr>
        <xdr:cNvPr id="16" name="TextBox 15">
          <a:extLst>
            <a:ext uri="{FF2B5EF4-FFF2-40B4-BE49-F238E27FC236}">
              <a16:creationId xmlns:a16="http://schemas.microsoft.com/office/drawing/2014/main" id="{A7EB936F-6FF2-483B-B063-F474C3346E86}"/>
            </a:ext>
          </a:extLst>
        </xdr:cNvPr>
        <xdr:cNvSpPr txBox="1"/>
      </xdr:nvSpPr>
      <xdr:spPr>
        <a:xfrm>
          <a:off x="17177657" y="7860003"/>
          <a:ext cx="2332654" cy="44061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Total</a:t>
          </a:r>
          <a:r>
            <a:rPr lang="en-IN" sz="1600" b="1" baseline="0">
              <a:solidFill>
                <a:schemeClr val="accent2">
                  <a:lumMod val="75000"/>
                </a:schemeClr>
              </a:solidFill>
            </a:rPr>
            <a:t> Circulating Supply</a:t>
          </a:r>
          <a:endParaRPr lang="en-IN" sz="1600" b="1">
            <a:solidFill>
              <a:schemeClr val="accent2">
                <a:lumMod val="75000"/>
              </a:schemeClr>
            </a:solidFill>
          </a:endParaRPr>
        </a:p>
        <a:p>
          <a:pPr algn="ctr"/>
          <a:endParaRPr lang="en-IN" sz="1600" b="1">
            <a:solidFill>
              <a:schemeClr val="accent2">
                <a:lumMod val="75000"/>
              </a:schemeClr>
            </a:solidFill>
          </a:endParaRPr>
        </a:p>
      </xdr:txBody>
    </xdr:sp>
    <xdr:clientData/>
  </xdr:twoCellAnchor>
  <xdr:twoCellAnchor>
    <xdr:from>
      <xdr:col>22</xdr:col>
      <xdr:colOff>42506</xdr:colOff>
      <xdr:row>33</xdr:row>
      <xdr:rowOff>142551</xdr:rowOff>
    </xdr:from>
    <xdr:to>
      <xdr:col>25</xdr:col>
      <xdr:colOff>573832</xdr:colOff>
      <xdr:row>41</xdr:row>
      <xdr:rowOff>55466</xdr:rowOff>
    </xdr:to>
    <xdr:sp macro="" textlink="U32">
      <xdr:nvSpPr>
        <xdr:cNvPr id="17" name="Rectangle: Rounded Corners 16">
          <a:extLst>
            <a:ext uri="{FF2B5EF4-FFF2-40B4-BE49-F238E27FC236}">
              <a16:creationId xmlns:a16="http://schemas.microsoft.com/office/drawing/2014/main" id="{D910F5F4-DE58-4A24-9650-82726C40FE23}"/>
            </a:ext>
          </a:extLst>
        </xdr:cNvPr>
        <xdr:cNvSpPr/>
      </xdr:nvSpPr>
      <xdr:spPr>
        <a:xfrm>
          <a:off x="17148628" y="6129694"/>
          <a:ext cx="2358571" cy="136434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F8A872-A84A-4EF1-949D-F3F54B44559D}" type="TxLink">
            <a:rPr lang="en-US" sz="2000" b="1" i="0" u="none" strike="noStrike">
              <a:solidFill>
                <a:srgbClr val="000000"/>
              </a:solidFill>
              <a:latin typeface="Calibri"/>
              <a:ea typeface="Calibri"/>
              <a:cs typeface="Calibri"/>
            </a:rPr>
            <a:t>118265.228</a:t>
          </a:fld>
          <a:endParaRPr lang="en-IN" sz="4000" b="1"/>
        </a:p>
      </xdr:txBody>
    </xdr:sp>
    <xdr:clientData/>
  </xdr:twoCellAnchor>
  <xdr:twoCellAnchor>
    <xdr:from>
      <xdr:col>22</xdr:col>
      <xdr:colOff>42506</xdr:colOff>
      <xdr:row>33</xdr:row>
      <xdr:rowOff>146179</xdr:rowOff>
    </xdr:from>
    <xdr:to>
      <xdr:col>25</xdr:col>
      <xdr:colOff>547915</xdr:colOff>
      <xdr:row>36</xdr:row>
      <xdr:rowOff>42505</xdr:rowOff>
    </xdr:to>
    <xdr:sp macro="" textlink="">
      <xdr:nvSpPr>
        <xdr:cNvPr id="18" name="TextBox 17">
          <a:extLst>
            <a:ext uri="{FF2B5EF4-FFF2-40B4-BE49-F238E27FC236}">
              <a16:creationId xmlns:a16="http://schemas.microsoft.com/office/drawing/2014/main" id="{D1F8A262-80AD-48F3-80B7-C10D2C22BD76}"/>
            </a:ext>
          </a:extLst>
        </xdr:cNvPr>
        <xdr:cNvSpPr txBox="1"/>
      </xdr:nvSpPr>
      <xdr:spPr>
        <a:xfrm>
          <a:off x="17148628" y="6133322"/>
          <a:ext cx="2332654" cy="44061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Total</a:t>
          </a:r>
          <a:r>
            <a:rPr lang="en-IN" sz="1600" b="1" baseline="0">
              <a:solidFill>
                <a:schemeClr val="accent2">
                  <a:lumMod val="75000"/>
                </a:schemeClr>
              </a:solidFill>
            </a:rPr>
            <a:t> Price of coins</a:t>
          </a:r>
          <a:endParaRPr lang="en-IN" sz="1600" b="1">
            <a:solidFill>
              <a:schemeClr val="accent2">
                <a:lumMod val="75000"/>
              </a:schemeClr>
            </a:solidFill>
          </a:endParaRPr>
        </a:p>
        <a:p>
          <a:pPr algn="ctr"/>
          <a:endParaRPr lang="en-IN" sz="1600" b="1">
            <a:solidFill>
              <a:schemeClr val="accent2">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269875</xdr:colOff>
      <xdr:row>12</xdr:row>
      <xdr:rowOff>142874</xdr:rowOff>
    </xdr:from>
    <xdr:to>
      <xdr:col>11</xdr:col>
      <xdr:colOff>158750</xdr:colOff>
      <xdr:row>30</xdr:row>
      <xdr:rowOff>126999</xdr:rowOff>
    </xdr:to>
    <xdr:graphicFrame macro="">
      <xdr:nvGraphicFramePr>
        <xdr:cNvPr id="2" name="Chart 1">
          <a:extLst>
            <a:ext uri="{FF2B5EF4-FFF2-40B4-BE49-F238E27FC236}">
              <a16:creationId xmlns:a16="http://schemas.microsoft.com/office/drawing/2014/main" id="{9900E9A3-48EC-418F-A17B-AC4B9A00B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301624</xdr:colOff>
      <xdr:row>32</xdr:row>
      <xdr:rowOff>95250</xdr:rowOff>
    </xdr:from>
    <xdr:to>
      <xdr:col>11</xdr:col>
      <xdr:colOff>95250</xdr:colOff>
      <xdr:row>49</xdr:row>
      <xdr:rowOff>127000</xdr:rowOff>
    </xdr:to>
    <xdr:graphicFrame macro="">
      <xdr:nvGraphicFramePr>
        <xdr:cNvPr id="3" name="Chart 2">
          <a:extLst>
            <a:ext uri="{FF2B5EF4-FFF2-40B4-BE49-F238E27FC236}">
              <a16:creationId xmlns:a16="http://schemas.microsoft.com/office/drawing/2014/main" id="{E3D4D741-58EA-434B-8A5C-27C69A5A0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555625</xdr:colOff>
      <xdr:row>31</xdr:row>
      <xdr:rowOff>158751</xdr:rowOff>
    </xdr:from>
    <xdr:to>
      <xdr:col>21</xdr:col>
      <xdr:colOff>1143000</xdr:colOff>
      <xdr:row>50</xdr:row>
      <xdr:rowOff>174625</xdr:rowOff>
    </xdr:to>
    <xdr:graphicFrame macro="">
      <xdr:nvGraphicFramePr>
        <xdr:cNvPr id="4" name="Chart 3">
          <a:extLst>
            <a:ext uri="{FF2B5EF4-FFF2-40B4-BE49-F238E27FC236}">
              <a16:creationId xmlns:a16="http://schemas.microsoft.com/office/drawing/2014/main" id="{38386A57-4E41-49B7-90A1-270343518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698500</xdr:colOff>
      <xdr:row>12</xdr:row>
      <xdr:rowOff>174624</xdr:rowOff>
    </xdr:from>
    <xdr:to>
      <xdr:col>21</xdr:col>
      <xdr:colOff>1127125</xdr:colOff>
      <xdr:row>30</xdr:row>
      <xdr:rowOff>127000</xdr:rowOff>
    </xdr:to>
    <xdr:graphicFrame macro="">
      <xdr:nvGraphicFramePr>
        <xdr:cNvPr id="5" name="Chart 4">
          <a:extLst>
            <a:ext uri="{FF2B5EF4-FFF2-40B4-BE49-F238E27FC236}">
              <a16:creationId xmlns:a16="http://schemas.microsoft.com/office/drawing/2014/main" id="{FFFE0CBF-DDDC-4005-896A-09BA69094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267542</xdr:colOff>
      <xdr:row>3</xdr:row>
      <xdr:rowOff>158750</xdr:rowOff>
    </xdr:from>
    <xdr:to>
      <xdr:col>7</xdr:col>
      <xdr:colOff>236440</xdr:colOff>
      <xdr:row>10</xdr:row>
      <xdr:rowOff>95250</xdr:rowOff>
    </xdr:to>
    <xdr:sp macro="" textlink="Pivot_Charts!U29">
      <xdr:nvSpPr>
        <xdr:cNvPr id="6" name="Rectangle: Rounded Corners 5">
          <a:extLst>
            <a:ext uri="{FF2B5EF4-FFF2-40B4-BE49-F238E27FC236}">
              <a16:creationId xmlns:a16="http://schemas.microsoft.com/office/drawing/2014/main" id="{1DBE589A-8C81-48B8-8DD3-8A53EAF0F1CD}"/>
            </a:ext>
          </a:extLst>
        </xdr:cNvPr>
        <xdr:cNvSpPr/>
      </xdr:nvSpPr>
      <xdr:spPr>
        <a:xfrm>
          <a:off x="2077292" y="730250"/>
          <a:ext cx="2381898" cy="1270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E85396-6340-474D-A6FF-71395CAF69E9}" type="TxLink">
            <a:rPr lang="en-US" sz="2000" b="1" i="0" u="none" strike="noStrike">
              <a:solidFill>
                <a:srgbClr val="000000"/>
              </a:solidFill>
              <a:latin typeface="Calibri"/>
              <a:ea typeface="Calibri"/>
              <a:cs typeface="Calibri"/>
            </a:rPr>
            <a:t>3.56284E+12</a:t>
          </a:fld>
          <a:endParaRPr lang="en-US" sz="2000" b="1"/>
        </a:p>
      </xdr:txBody>
    </xdr:sp>
    <xdr:clientData/>
  </xdr:twoCellAnchor>
  <xdr:twoCellAnchor>
    <xdr:from>
      <xdr:col>3</xdr:col>
      <xdr:colOff>280501</xdr:colOff>
      <xdr:row>3</xdr:row>
      <xdr:rowOff>124083</xdr:rowOff>
    </xdr:from>
    <xdr:to>
      <xdr:col>7</xdr:col>
      <xdr:colOff>223482</xdr:colOff>
      <xdr:row>5</xdr:row>
      <xdr:rowOff>183695</xdr:rowOff>
    </xdr:to>
    <xdr:sp macro="" textlink="">
      <xdr:nvSpPr>
        <xdr:cNvPr id="7" name="TextBox 6">
          <a:extLst>
            <a:ext uri="{FF2B5EF4-FFF2-40B4-BE49-F238E27FC236}">
              <a16:creationId xmlns:a16="http://schemas.microsoft.com/office/drawing/2014/main" id="{1872A1B1-A442-47A9-A4BB-39CEE664DE97}"/>
            </a:ext>
          </a:extLst>
        </xdr:cNvPr>
        <xdr:cNvSpPr txBox="1"/>
      </xdr:nvSpPr>
      <xdr:spPr>
        <a:xfrm>
          <a:off x="2090251" y="695583"/>
          <a:ext cx="2355981" cy="44061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Sum of Market Capital</a:t>
          </a:r>
        </a:p>
        <a:p>
          <a:pPr algn="ctr"/>
          <a:endParaRPr lang="en-IN" sz="1600" b="1">
            <a:solidFill>
              <a:schemeClr val="accent2">
                <a:lumMod val="75000"/>
              </a:schemeClr>
            </a:solidFill>
          </a:endParaRPr>
        </a:p>
      </xdr:txBody>
    </xdr:sp>
    <xdr:clientData/>
  </xdr:twoCellAnchor>
  <xdr:twoCellAnchor>
    <xdr:from>
      <xdr:col>12</xdr:col>
      <xdr:colOff>851613</xdr:colOff>
      <xdr:row>4</xdr:row>
      <xdr:rowOff>147669</xdr:rowOff>
    </xdr:from>
    <xdr:to>
      <xdr:col>13</xdr:col>
      <xdr:colOff>1820636</xdr:colOff>
      <xdr:row>11</xdr:row>
      <xdr:rowOff>84169</xdr:rowOff>
    </xdr:to>
    <xdr:sp macro="" textlink="Pivot_Charts!U35">
      <xdr:nvSpPr>
        <xdr:cNvPr id="8" name="Rectangle: Rounded Corners 7">
          <a:extLst>
            <a:ext uri="{FF2B5EF4-FFF2-40B4-BE49-F238E27FC236}">
              <a16:creationId xmlns:a16="http://schemas.microsoft.com/office/drawing/2014/main" id="{73130604-7E66-4C1A-86D6-C57CEE97EEE7}"/>
            </a:ext>
          </a:extLst>
        </xdr:cNvPr>
        <xdr:cNvSpPr/>
      </xdr:nvSpPr>
      <xdr:spPr>
        <a:xfrm>
          <a:off x="8312863" y="1592294"/>
          <a:ext cx="2778773" cy="1270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CAECBE-3A5A-4F69-8B56-C13A81D631CB}" type="TxLink">
            <a:rPr lang="en-US" sz="2000" b="1" i="0" u="none" strike="noStrike">
              <a:solidFill>
                <a:srgbClr val="000000"/>
              </a:solidFill>
              <a:latin typeface="Calibri"/>
              <a:ea typeface="Calibri"/>
              <a:cs typeface="Calibri"/>
            </a:rPr>
            <a:t>4.43757E+15</a:t>
          </a:fld>
          <a:endParaRPr lang="en-IN" sz="2000" b="1"/>
        </a:p>
      </xdr:txBody>
    </xdr:sp>
    <xdr:clientData/>
  </xdr:twoCellAnchor>
  <xdr:twoCellAnchor>
    <xdr:from>
      <xdr:col>12</xdr:col>
      <xdr:colOff>902154</xdr:colOff>
      <xdr:row>4</xdr:row>
      <xdr:rowOff>95831</xdr:rowOff>
    </xdr:from>
    <xdr:to>
      <xdr:col>13</xdr:col>
      <xdr:colOff>1845260</xdr:colOff>
      <xdr:row>6</xdr:row>
      <xdr:rowOff>155443</xdr:rowOff>
    </xdr:to>
    <xdr:sp macro="" textlink="">
      <xdr:nvSpPr>
        <xdr:cNvPr id="9" name="TextBox 8">
          <a:extLst>
            <a:ext uri="{FF2B5EF4-FFF2-40B4-BE49-F238E27FC236}">
              <a16:creationId xmlns:a16="http://schemas.microsoft.com/office/drawing/2014/main" id="{3543001D-E4AF-42F5-9437-BDDC376CEAB8}"/>
            </a:ext>
          </a:extLst>
        </xdr:cNvPr>
        <xdr:cNvSpPr txBox="1"/>
      </xdr:nvSpPr>
      <xdr:spPr>
        <a:xfrm>
          <a:off x="8363404" y="1540456"/>
          <a:ext cx="2752856" cy="44061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Total</a:t>
          </a:r>
          <a:r>
            <a:rPr lang="en-IN" sz="1600" b="1" baseline="0">
              <a:solidFill>
                <a:schemeClr val="accent2">
                  <a:lumMod val="75000"/>
                </a:schemeClr>
              </a:solidFill>
            </a:rPr>
            <a:t> Circulating Supply</a:t>
          </a:r>
          <a:endParaRPr lang="en-IN" sz="1600" b="1">
            <a:solidFill>
              <a:schemeClr val="accent2">
                <a:lumMod val="75000"/>
              </a:schemeClr>
            </a:solidFill>
          </a:endParaRPr>
        </a:p>
        <a:p>
          <a:pPr algn="ctr"/>
          <a:endParaRPr lang="en-IN" sz="1600" b="1">
            <a:solidFill>
              <a:schemeClr val="accent2">
                <a:lumMod val="75000"/>
              </a:schemeClr>
            </a:solidFill>
          </a:endParaRPr>
        </a:p>
      </xdr:txBody>
    </xdr:sp>
    <xdr:clientData/>
  </xdr:twoCellAnchor>
  <xdr:twoCellAnchor>
    <xdr:from>
      <xdr:col>8</xdr:col>
      <xdr:colOff>206375</xdr:colOff>
      <xdr:row>3</xdr:row>
      <xdr:rowOff>159397</xdr:rowOff>
    </xdr:from>
    <xdr:to>
      <xdr:col>12</xdr:col>
      <xdr:colOff>175273</xdr:colOff>
      <xdr:row>10</xdr:row>
      <xdr:rowOff>190240</xdr:rowOff>
    </xdr:to>
    <xdr:sp macro="" textlink="Pivot_Charts!U32">
      <xdr:nvSpPr>
        <xdr:cNvPr id="10" name="Rectangle: Rounded Corners 9">
          <a:extLst>
            <a:ext uri="{FF2B5EF4-FFF2-40B4-BE49-F238E27FC236}">
              <a16:creationId xmlns:a16="http://schemas.microsoft.com/office/drawing/2014/main" id="{1F8D2358-E815-4D97-A2A1-84C2F97A3693}"/>
            </a:ext>
          </a:extLst>
        </xdr:cNvPr>
        <xdr:cNvSpPr/>
      </xdr:nvSpPr>
      <xdr:spPr>
        <a:xfrm>
          <a:off x="5032375" y="730897"/>
          <a:ext cx="2381898" cy="136434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E17626-0A44-49B4-91B3-FD72623F7913}" type="TxLink">
            <a:rPr lang="en-US" sz="2000" b="1" i="0" u="none" strike="noStrike">
              <a:solidFill>
                <a:srgbClr val="000000"/>
              </a:solidFill>
              <a:latin typeface="Calibri"/>
              <a:ea typeface="Calibri"/>
              <a:cs typeface="Calibri"/>
            </a:rPr>
            <a:t>118265.228</a:t>
          </a:fld>
          <a:endParaRPr lang="en-IN" sz="2000" b="1"/>
        </a:p>
      </xdr:txBody>
    </xdr:sp>
    <xdr:clientData/>
  </xdr:twoCellAnchor>
  <xdr:twoCellAnchor>
    <xdr:from>
      <xdr:col>8</xdr:col>
      <xdr:colOff>206375</xdr:colOff>
      <xdr:row>3</xdr:row>
      <xdr:rowOff>131275</xdr:rowOff>
    </xdr:from>
    <xdr:to>
      <xdr:col>12</xdr:col>
      <xdr:colOff>149356</xdr:colOff>
      <xdr:row>6</xdr:row>
      <xdr:rowOff>387</xdr:rowOff>
    </xdr:to>
    <xdr:sp macro="" textlink="">
      <xdr:nvSpPr>
        <xdr:cNvPr id="11" name="TextBox 10">
          <a:extLst>
            <a:ext uri="{FF2B5EF4-FFF2-40B4-BE49-F238E27FC236}">
              <a16:creationId xmlns:a16="http://schemas.microsoft.com/office/drawing/2014/main" id="{7AB3535E-7735-403D-96C2-E090060F0E8B}"/>
            </a:ext>
          </a:extLst>
        </xdr:cNvPr>
        <xdr:cNvSpPr txBox="1"/>
      </xdr:nvSpPr>
      <xdr:spPr>
        <a:xfrm>
          <a:off x="5032375" y="702775"/>
          <a:ext cx="2355981" cy="44061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Total</a:t>
          </a:r>
          <a:r>
            <a:rPr lang="en-IN" sz="1600" b="1" baseline="0">
              <a:solidFill>
                <a:schemeClr val="accent2">
                  <a:lumMod val="75000"/>
                </a:schemeClr>
              </a:solidFill>
            </a:rPr>
            <a:t> Price of coins</a:t>
          </a:r>
          <a:endParaRPr lang="en-IN" sz="1600" b="1">
            <a:solidFill>
              <a:schemeClr val="accent2">
                <a:lumMod val="75000"/>
              </a:schemeClr>
            </a:solidFill>
          </a:endParaRPr>
        </a:p>
        <a:p>
          <a:pPr algn="ctr"/>
          <a:endParaRPr lang="en-IN" sz="1600" b="1">
            <a:solidFill>
              <a:schemeClr val="accent2">
                <a:lumMod val="75000"/>
              </a:schemeClr>
            </a:solidFill>
          </a:endParaRPr>
        </a:p>
      </xdr:txBody>
    </xdr:sp>
    <xdr:clientData/>
  </xdr:twoCellAnchor>
  <xdr:twoCellAnchor>
    <xdr:from>
      <xdr:col>18</xdr:col>
      <xdr:colOff>1738669</xdr:colOff>
      <xdr:row>3</xdr:row>
      <xdr:rowOff>183244</xdr:rowOff>
    </xdr:from>
    <xdr:to>
      <xdr:col>21</xdr:col>
      <xdr:colOff>1143000</xdr:colOff>
      <xdr:row>10</xdr:row>
      <xdr:rowOff>119744</xdr:rowOff>
    </xdr:to>
    <xdr:sp macro="" textlink="Pivot_Charts!T38">
      <xdr:nvSpPr>
        <xdr:cNvPr id="12" name="Rectangle: Rounded Corners 11">
          <a:extLst>
            <a:ext uri="{FF2B5EF4-FFF2-40B4-BE49-F238E27FC236}">
              <a16:creationId xmlns:a16="http://schemas.microsoft.com/office/drawing/2014/main" id="{9B798643-6935-4577-95A9-886AD86DDE64}"/>
            </a:ext>
          </a:extLst>
        </xdr:cNvPr>
        <xdr:cNvSpPr/>
      </xdr:nvSpPr>
      <xdr:spPr>
        <a:xfrm>
          <a:off x="15708669" y="754744"/>
          <a:ext cx="2357081" cy="1270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E01D7C-06B6-4802-926B-B291D0E5F224}" type="TxLink">
            <a:rPr lang="en-US" sz="2000" b="1" i="0" u="none" strike="noStrike">
              <a:solidFill>
                <a:srgbClr val="000000"/>
              </a:solidFill>
              <a:latin typeface="Calibri"/>
              <a:ea typeface="Calibri"/>
              <a:cs typeface="Calibri"/>
            </a:rPr>
            <a:t>112396.23</a:t>
          </a:fld>
          <a:endParaRPr lang="en-IN" sz="2000" b="1"/>
        </a:p>
      </xdr:txBody>
    </xdr:sp>
    <xdr:clientData/>
  </xdr:twoCellAnchor>
  <xdr:twoCellAnchor>
    <xdr:from>
      <xdr:col>19</xdr:col>
      <xdr:colOff>5378</xdr:colOff>
      <xdr:row>3</xdr:row>
      <xdr:rowOff>173199</xdr:rowOff>
    </xdr:from>
    <xdr:to>
      <xdr:col>21</xdr:col>
      <xdr:colOff>1127126</xdr:colOff>
      <xdr:row>6</xdr:row>
      <xdr:rowOff>31750</xdr:rowOff>
    </xdr:to>
    <xdr:sp macro="" textlink="">
      <xdr:nvSpPr>
        <xdr:cNvPr id="13" name="TextBox 12">
          <a:extLst>
            <a:ext uri="{FF2B5EF4-FFF2-40B4-BE49-F238E27FC236}">
              <a16:creationId xmlns:a16="http://schemas.microsoft.com/office/drawing/2014/main" id="{BE975EC5-3C4B-4922-85B7-FB8D6E0DED76}"/>
            </a:ext>
          </a:extLst>
        </xdr:cNvPr>
        <xdr:cNvSpPr txBox="1"/>
      </xdr:nvSpPr>
      <xdr:spPr>
        <a:xfrm>
          <a:off x="15102503" y="744699"/>
          <a:ext cx="2328248" cy="43005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Price</a:t>
          </a:r>
          <a:r>
            <a:rPr lang="en-IN" sz="1600" b="1" baseline="0">
              <a:solidFill>
                <a:schemeClr val="accent2">
                  <a:lumMod val="75000"/>
                </a:schemeClr>
              </a:solidFill>
            </a:rPr>
            <a:t> of Top Coin</a:t>
          </a:r>
          <a:endParaRPr lang="en-IN" sz="1600" b="1">
            <a:solidFill>
              <a:schemeClr val="accent2">
                <a:lumMod val="75000"/>
              </a:schemeClr>
            </a:solidFill>
          </a:endParaRPr>
        </a:p>
        <a:p>
          <a:pPr algn="ctr"/>
          <a:endParaRPr lang="en-IN" sz="1600" b="1">
            <a:solidFill>
              <a:schemeClr val="accent2">
                <a:lumMod val="75000"/>
              </a:schemeClr>
            </a:solidFill>
          </a:endParaRPr>
        </a:p>
      </xdr:txBody>
    </xdr:sp>
    <xdr:clientData/>
  </xdr:twoCellAnchor>
  <xdr:twoCellAnchor>
    <xdr:from>
      <xdr:col>15</xdr:col>
      <xdr:colOff>952501</xdr:colOff>
      <xdr:row>4</xdr:row>
      <xdr:rowOff>73544</xdr:rowOff>
    </xdr:from>
    <xdr:to>
      <xdr:col>17</xdr:col>
      <xdr:colOff>1492251</xdr:colOff>
      <xdr:row>11</xdr:row>
      <xdr:rowOff>10044</xdr:rowOff>
    </xdr:to>
    <xdr:sp macro="" textlink="Pivot_Charts!T36">
      <xdr:nvSpPr>
        <xdr:cNvPr id="14" name="Rectangle: Rounded Corners 13">
          <a:extLst>
            <a:ext uri="{FF2B5EF4-FFF2-40B4-BE49-F238E27FC236}">
              <a16:creationId xmlns:a16="http://schemas.microsoft.com/office/drawing/2014/main" id="{B88F5E06-83B1-40A7-9A02-0CFAE14998CE}"/>
            </a:ext>
          </a:extLst>
        </xdr:cNvPr>
        <xdr:cNvSpPr/>
      </xdr:nvSpPr>
      <xdr:spPr>
        <a:xfrm>
          <a:off x="10985501" y="835544"/>
          <a:ext cx="2730500" cy="1270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F3CB4F-6106-47A9-9B96-FA4AD015FFA1}" type="TxLink">
            <a:rPr lang="en-US" sz="2000" b="1" i="0" u="none" strike="noStrike">
              <a:solidFill>
                <a:srgbClr val="000000"/>
              </a:solidFill>
              <a:latin typeface="Calibri"/>
              <a:ea typeface="Calibri"/>
              <a:cs typeface="Calibri"/>
            </a:rPr>
            <a:t>Bitcoin</a:t>
          </a:fld>
          <a:endParaRPr lang="en-IN" sz="2000" b="1"/>
        </a:p>
      </xdr:txBody>
    </xdr:sp>
    <xdr:clientData/>
  </xdr:twoCellAnchor>
  <xdr:twoCellAnchor>
    <xdr:from>
      <xdr:col>15</xdr:col>
      <xdr:colOff>933709</xdr:colOff>
      <xdr:row>3</xdr:row>
      <xdr:rowOff>158751</xdr:rowOff>
    </xdr:from>
    <xdr:to>
      <xdr:col>17</xdr:col>
      <xdr:colOff>1524000</xdr:colOff>
      <xdr:row>6</xdr:row>
      <xdr:rowOff>31751</xdr:rowOff>
    </xdr:to>
    <xdr:sp macro="" textlink="">
      <xdr:nvSpPr>
        <xdr:cNvPr id="15" name="TextBox 14">
          <a:extLst>
            <a:ext uri="{FF2B5EF4-FFF2-40B4-BE49-F238E27FC236}">
              <a16:creationId xmlns:a16="http://schemas.microsoft.com/office/drawing/2014/main" id="{D7B0A4A2-8F89-4D64-A970-D55A8A87BF55}"/>
            </a:ext>
          </a:extLst>
        </xdr:cNvPr>
        <xdr:cNvSpPr txBox="1"/>
      </xdr:nvSpPr>
      <xdr:spPr>
        <a:xfrm>
          <a:off x="10966709" y="730251"/>
          <a:ext cx="2781041" cy="4445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Top</a:t>
          </a:r>
          <a:r>
            <a:rPr lang="en-IN" sz="1600" b="1" baseline="0">
              <a:solidFill>
                <a:schemeClr val="accent2">
                  <a:lumMod val="75000"/>
                </a:schemeClr>
              </a:solidFill>
            </a:rPr>
            <a:t> Price Coin</a:t>
          </a:r>
          <a:endParaRPr lang="en-IN" sz="1600" b="1">
            <a:solidFill>
              <a:schemeClr val="accent2">
                <a:lumMod val="75000"/>
              </a:schemeClr>
            </a:solidFill>
          </a:endParaRPr>
        </a:p>
        <a:p>
          <a:pPr algn="ctr"/>
          <a:endParaRPr lang="en-IN" sz="1600" b="1">
            <a:solidFill>
              <a:schemeClr val="accent2">
                <a:lumMod val="75000"/>
              </a:schemeClr>
            </a:solidFill>
          </a:endParaRPr>
        </a:p>
      </xdr:txBody>
    </xdr:sp>
    <xdr:clientData/>
  </xdr:twoCellAnchor>
  <xdr:twoCellAnchor editAs="oneCell">
    <xdr:from>
      <xdr:col>12</xdr:col>
      <xdr:colOff>254000</xdr:colOff>
      <xdr:row>14</xdr:row>
      <xdr:rowOff>15875</xdr:rowOff>
    </xdr:from>
    <xdr:to>
      <xdr:col>13</xdr:col>
      <xdr:colOff>1619250</xdr:colOff>
      <xdr:row>26</xdr:row>
      <xdr:rowOff>142875</xdr:rowOff>
    </xdr:to>
    <mc:AlternateContent xmlns:mc="http://schemas.openxmlformats.org/markup-compatibility/2006">
      <mc:Choice xmlns:a14="http://schemas.microsoft.com/office/drawing/2010/main" Requires="a14">
        <xdr:graphicFrame macro="">
          <xdr:nvGraphicFramePr>
            <xdr:cNvPr id="16" name="Price Range 1">
              <a:extLst>
                <a:ext uri="{FF2B5EF4-FFF2-40B4-BE49-F238E27FC236}">
                  <a16:creationId xmlns:a16="http://schemas.microsoft.com/office/drawing/2014/main" id="{9B93C18A-128F-495F-9C0A-CBB1733C3962}"/>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dr:sp macro="" textlink="">
          <xdr:nvSpPr>
            <xdr:cNvPr id="0" name=""/>
            <xdr:cNvSpPr>
              <a:spLocks noTextEdit="1"/>
            </xdr:cNvSpPr>
          </xdr:nvSpPr>
          <xdr:spPr>
            <a:xfrm>
              <a:off x="7413625" y="3365500"/>
              <a:ext cx="2794000" cy="241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15875</xdr:colOff>
      <xdr:row>0</xdr:row>
      <xdr:rowOff>79376</xdr:rowOff>
    </xdr:from>
    <xdr:to>
      <xdr:col>21</xdr:col>
      <xdr:colOff>1317625</xdr:colOff>
      <xdr:row>2</xdr:row>
      <xdr:rowOff>127000</xdr:rowOff>
    </xdr:to>
    <xdr:sp macro="" textlink="">
      <xdr:nvSpPr>
        <xdr:cNvPr id="17" name="TextBox 16">
          <a:extLst>
            <a:ext uri="{FF2B5EF4-FFF2-40B4-BE49-F238E27FC236}">
              <a16:creationId xmlns:a16="http://schemas.microsoft.com/office/drawing/2014/main" id="{05100C8C-F5BF-2FF2-A031-72C56C81604E}"/>
            </a:ext>
          </a:extLst>
        </xdr:cNvPr>
        <xdr:cNvSpPr txBox="1"/>
      </xdr:nvSpPr>
      <xdr:spPr>
        <a:xfrm>
          <a:off x="1825625" y="79376"/>
          <a:ext cx="15795625" cy="809624"/>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a:solidFill>
                <a:schemeClr val="bg1"/>
              </a:solidFill>
            </a:rPr>
            <a:t>Crypto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ank Chintala" refreshedDate="45898.82126365741" createdVersion="8" refreshedVersion="8" minRefreshableVersion="3" recordCount="187" xr:uid="{66B0362E-0B52-4031-94E5-9FD7E3C725B3}">
  <cacheSource type="worksheet">
    <worksheetSource name="Cleaned_Data"/>
  </cacheSource>
  <cacheFields count="11">
    <cacheField name="Coin Name" numFmtId="0">
      <sharedItems count="186">
        <s v="Bitcoin"/>
        <s v="Ethereum"/>
        <s v="XRP"/>
        <s v="Tether"/>
        <s v="BNB"/>
        <s v="Solana"/>
        <s v="USDC"/>
        <s v="Dogecoin"/>
        <s v="TRON"/>
        <s v="Cardano"/>
        <s v="Ripple USD"/>
        <s v="Zcash"/>
        <s v="AB"/>
        <s v="Pyth Network"/>
        <s v="BitTorrent [New]"/>
        <s v="Flow"/>
        <s v="DeXe"/>
        <s v="BUILDon"/>
        <s v="Walrus"/>
        <s v="Decentraland"/>
        <s v="Fasttoken"/>
        <s v="Jupiter Perps LP"/>
        <s v="Falcon USD"/>
        <s v="Loaded Lions"/>
        <s v="Ondo US Dollar Yield"/>
        <s v="Usual USD"/>
        <s v="Vision"/>
        <s v="Beldex"/>
        <s v="Global Dollar"/>
        <s v="Zeebu"/>
        <s v="WOO"/>
        <s v="Elixir deUSD"/>
        <s v="Yala"/>
        <s v="Polymesh"/>
        <s v="Aleo"/>
        <s v="AUSD"/>
        <s v="Babylon"/>
        <s v="Status"/>
        <s v="Enjin Coin"/>
        <s v="Vana"/>
        <s v="Definitive"/>
        <s v="Apertum"/>
        <s v="Tokenlon Network Token"/>
        <s v="BIM"/>
        <s v="Ardor"/>
        <s v="Audius"/>
        <s v="Ark"/>
        <s v="Goatseus Maximus"/>
        <s v="Comedian"/>
        <s v="Sophon"/>
        <s v="Metal DAO"/>
        <s v="Celer Network"/>
        <s v="ArchLoot"/>
        <s v="B3 (Base)"/>
        <s v="Tornado Cash"/>
        <s v="Polyhedra Network"/>
        <s v="Bounce Token"/>
        <s v="Radix"/>
        <s v="Gains Network"/>
        <s v="Quantum Resistant Ledger"/>
        <s v="Symbol"/>
        <s v="deBridge"/>
        <s v="Origin Protocol"/>
        <s v="Autonolas"/>
        <s v="Renzo"/>
        <s v="PepeCoin"/>
        <s v="Vulcan Forged (PYR)"/>
        <s v="MetYa"/>
        <s v="MetFi"/>
        <s v="Metadium"/>
        <s v="Acala Token"/>
        <s v="XION"/>
        <s v="Roam"/>
        <s v="Fuel Network"/>
        <s v="Ampleforth"/>
        <s v="ARPA"/>
        <s v="Fair and Free"/>
        <s v="XPLA"/>
        <s v="PlatON"/>
        <s v="dYdX (ethDYDX)"/>
        <s v="Build On BNB"/>
        <s v="CLV"/>
        <s v="Kekius Maximus (kekiusmaximus.vip)"/>
        <s v="Alkimi"/>
        <s v="CreatorBid"/>
        <s v="Moby"/>
        <s v="Agoras: Tau Net"/>
        <s v="ZUSD"/>
        <s v="Cross The Ages"/>
        <s v="Amaterasu Omikami"/>
        <s v="OLAXBT"/>
        <s v="Games for a Living"/>
        <s v="Magpie"/>
        <s v="Everscale"/>
        <s v="Bulla"/>
        <s v="SIX Token"/>
        <s v="AIHub"/>
        <s v="NodeOps"/>
        <s v="GYEN"/>
        <s v="Rezor"/>
        <s v="Jerry The Turtle By Matt Furie"/>
        <s v="pSTAKE Finance"/>
        <s v="Suku"/>
        <s v="Vita Inu"/>
        <s v="Hosico"/>
        <s v="Alvara Protocol"/>
        <s v="Free Palestine"/>
        <s v="Infinitar"/>
        <s v="Biswap"/>
        <s v="PublicAI"/>
        <s v="BasedAI"/>
        <s v="Bellscoin"/>
        <s v="SIGMA"/>
        <s v="STUFF.io"/>
        <s v="Tectonic"/>
        <s v="Prosper"/>
        <s v="AKEDO"/>
        <s v="StablR USD"/>
        <s v="Counterparty"/>
        <s v="Steem Dollars"/>
        <s v="Startup"/>
        <s v="LinqAI"/>
        <s v="Baanx"/>
        <s v="TrustSwap"/>
        <s v="Tanssi"/>
        <s v="Stride"/>
        <s v="Peercoin"/>
        <s v="Fluence"/>
        <s v="Partisia Blockchain"/>
        <s v="Pain (paintoken.com)"/>
        <s v="Sentinel"/>
        <s v="Cere Network"/>
        <s v="OVR"/>
        <s v="fanC"/>
        <s v="Velvet"/>
        <s v="Wibegram"/>
        <s v="ABBC Coin"/>
        <s v="Lion Cat"/>
        <s v="Zero1 Labs"/>
        <s v="STAT"/>
        <s v="Stonks"/>
        <s v="Epic Cash"/>
        <s v="ORBIT"/>
        <s v="Upland (SPARKLET)"/>
        <s v="Troll (troll.run)"/>
        <s v="XPIN Network"/>
        <s v="Beam"/>
        <s v="Project WITH"/>
        <s v="Mysterium"/>
        <s v="PRIZM"/>
        <s v="Frodo the virtual samurai"/>
        <s v="MSTR2100"/>
        <s v="LABEL AI"/>
        <s v="RCADE"/>
        <s v="CrossFi"/>
        <s v="Boom"/>
        <s v="Izumi Finance"/>
        <s v="Push Protocol"/>
        <s v="Patriot"/>
        <s v="Panda Swap"/>
        <s v="GAM3S.GG"/>
        <s v="Harold"/>
        <s v="Decentrawood"/>
        <s v="Lumera Health"/>
        <s v="Celsius"/>
        <s v="aixCB by Virtuals"/>
        <s v="Solchat"/>
        <s v="Baby Grok (babygrok.ai)"/>
        <s v="Alpaca Finance"/>
        <s v="Nitro"/>
        <s v="MarsDAO"/>
        <s v="Cypherium"/>
        <s v="The Nation Token"/>
        <s v="Messiah"/>
        <s v="Xaya"/>
        <s v="Shiba Predator"/>
        <s v="Expand"/>
        <s v="Plearn"/>
        <s v="HODL Coin"/>
        <s v="Neutrino Index"/>
        <s v="ADAMANT Messenger"/>
        <s v="Q Protocol"/>
        <s v="Carnomaly"/>
        <s v="Tune.FM"/>
        <s v="Etherisc DIP Token"/>
        <s v="IVPAY"/>
      </sharedItems>
    </cacheField>
    <cacheField name="Symbol" numFmtId="0">
      <sharedItems count="187">
        <s v="BTC"/>
        <s v="ETH"/>
        <s v="XRP"/>
        <s v="USDT"/>
        <s v="BNB"/>
        <s v="SOL"/>
        <s v="USDC"/>
        <s v="DOGE"/>
        <s v="TRX"/>
        <s v="ADA"/>
        <s v="RLUSD"/>
        <s v="ZEC"/>
        <s v="AB"/>
        <s v="PYTH"/>
        <s v="BTT"/>
        <s v="FLOW"/>
        <s v="DEXE"/>
        <s v="B"/>
        <s v="WAL"/>
        <s v="MANA"/>
        <s v="FTN"/>
        <s v="JLP"/>
        <s v="USDf"/>
        <s v="LION"/>
        <s v="USDY"/>
        <s v="USD0"/>
        <s v="VSN"/>
        <s v="BDX"/>
        <s v="USDG"/>
        <s v="ZBU"/>
        <s v="WOO"/>
        <s v="DEUSD"/>
        <s v="YU"/>
        <s v="POLYX"/>
        <s v="ALEO"/>
        <s v="AUSD"/>
        <s v="BABY"/>
        <s v="SNT"/>
        <s v="ENJ"/>
        <s v="VANA"/>
        <s v="EDGE"/>
        <s v="APTM"/>
        <s v="LON"/>
        <s v="BIM"/>
        <s v="ARDR"/>
        <s v="AUDIO"/>
        <s v="ARK"/>
        <s v="GOAT"/>
        <s v="BAN"/>
        <s v="SOPH"/>
        <s v="MTL"/>
        <s v="CELR"/>
        <s v="AL"/>
        <s v="B3"/>
        <s v="TORN"/>
        <s v="ZKJ"/>
        <s v="AUCTION"/>
        <s v="XRD"/>
        <s v="GNS"/>
        <s v="QRL"/>
        <s v="XYM"/>
        <s v="DBR"/>
        <s v="OGN"/>
        <s v="OLAS"/>
        <s v="REZ"/>
        <s v="PEPECOIN"/>
        <s v="PYR"/>
        <s v="MET"/>
        <s v="METFI"/>
        <s v="YALA"/>
        <s v="META"/>
        <s v="ACA"/>
        <s v="XION"/>
        <s v="ROAM"/>
        <s v="FUEL"/>
        <s v="AMPL"/>
        <s v="ARPA"/>
        <s v="FAIR3"/>
        <s v="XPLA"/>
        <s v="LAT"/>
        <s v="ETHDYDX"/>
        <s v="BOB"/>
        <s v="CLV"/>
        <s v="KEKIUS"/>
        <s v="ADS"/>
        <s v="BID"/>
        <s v="MOBY"/>
        <s v="AGRS"/>
        <s v="ZUSD"/>
        <s v="CTA"/>
        <s v="OMIKAMI"/>
        <s v="AIO"/>
        <s v="GFAL"/>
        <s v="MGP"/>
        <s v="EVER"/>
        <s v="BULLA"/>
        <s v="SIX"/>
        <s v="AIH"/>
        <s v="NODE"/>
        <s v="GYEN"/>
        <s v="RZR"/>
        <s v="JYAI"/>
        <s v="PSTAKE"/>
        <s v="SUKU"/>
        <s v="VINU"/>
        <s v="HOSICO"/>
        <s v="ALVA"/>
        <s v="YAFA"/>
        <s v="IGT"/>
        <s v="BSW"/>
        <s v="PUBLIC"/>
        <s v="BASEDAI"/>
        <s v="BELLS"/>
        <s v="SIGMA"/>
        <s v="STUFF"/>
        <s v="TONIC"/>
        <s v="PROS"/>
        <s v="AKE"/>
        <s v="USDR"/>
        <s v="XCP"/>
        <s v="SBD"/>
        <s v="STARTUP"/>
        <s v="LNQ"/>
        <s v="BXX"/>
        <s v="SWAP"/>
        <s v="TANSSI"/>
        <s v="STRD"/>
        <s v="PPC"/>
        <s v="FLT"/>
        <s v="MPC"/>
        <s v="PAIN"/>
        <s v="P2P"/>
        <s v="CERE"/>
        <s v="OVR"/>
        <s v="FANC"/>
        <s v="VELVET"/>
        <s v="WIBE"/>
        <s v="ABBC"/>
        <s v="LCAT"/>
        <s v="DEAI"/>
        <s v="STAT"/>
        <s v="STNK"/>
        <s v="EPIC"/>
        <s v="GRIFT"/>
        <s v="SPARKLET"/>
        <s v="TROLL"/>
        <s v="XPIN"/>
        <s v="BEAM"/>
        <s v="WIKEN"/>
        <s v="MYST"/>
        <s v="PZM"/>
        <s v="FROG"/>
        <s v="MSTR"/>
        <s v="LBL"/>
        <s v="RCADE"/>
        <s v="XFI"/>
        <s v="BOOM"/>
        <s v="IZI"/>
        <s v="PUSH"/>
        <s v="PATRIOT"/>
        <s v="PANDA"/>
        <s v="G3"/>
        <s v="HAROLD"/>
        <s v="DEOD"/>
        <s v="LUR"/>
        <s v="CEL"/>
        <s v="AIXCB"/>
        <s v="CHAT"/>
        <s v="BABYGROK"/>
        <s v="ALPACA"/>
        <s v="NITRO"/>
        <s v="MDAO"/>
        <s v="CPH"/>
        <s v="NATO"/>
        <s v="MSIA"/>
        <s v="CHI"/>
        <s v="QOM"/>
        <s v="XZK"/>
        <s v="PLN"/>
        <s v="HODL"/>
        <s v="XTN"/>
        <s v="ADM"/>
        <s v="QGOV"/>
        <s v="CARR"/>
        <s v="JAM"/>
        <s v="DIP"/>
        <s v="IVPAY"/>
      </sharedItems>
    </cacheField>
    <cacheField name="Price (USD)" numFmtId="0">
      <sharedItems containsSemiMixedTypes="0" containsString="0" containsNumber="1" minValue="1E-4" maxValue="112396.23"/>
    </cacheField>
    <cacheField name="1h Change (%)" numFmtId="0">
      <sharedItems containsSemiMixedTypes="0" containsString="0" containsNumber="1" minValue="0" maxValue="4.2700000000000002E-2"/>
    </cacheField>
    <cacheField name="Market Cap" numFmtId="0">
      <sharedItems containsSemiMixedTypes="0" containsString="0" containsNumber="1" containsInteger="1" minValue="1736200" maxValue="2236591973065"/>
    </cacheField>
    <cacheField name="Volume (24h) USD" numFmtId="0">
      <sharedItems containsSemiMixedTypes="0" containsString="0" containsNumber="1" containsInteger="1" minValue="10" maxValue="117252093277"/>
    </cacheField>
    <cacheField name="Circulating Supply" numFmtId="0">
      <sharedItems/>
    </cacheField>
    <cacheField name="Circulating_Supply($)" numFmtId="0">
      <sharedItems containsSemiMixedTypes="0" containsString="0" containsNumber="1" minValue="579840" maxValue="986060000000000"/>
    </cacheField>
    <cacheField name="DollarVolume per Supply" numFmtId="0">
      <sharedItems containsSemiMixedTypes="0" containsString="0" containsNumber="1" minValue="5.0510102020404078E-12" maxValue="3073.6519340030136"/>
    </cacheField>
    <cacheField name="Rank" numFmtId="0">
      <sharedItems containsSemiMixedTypes="0" containsString="0" containsNumber="1" containsInteger="1" minValue="1" maxValue="187"/>
    </cacheField>
    <cacheField name="Price Range" numFmtId="0">
      <sharedItems count="7">
        <s v="10000+"/>
        <s v="100-10000"/>
        <s v="2-10"/>
        <s v="0.5-1"/>
        <s v="0-0.5"/>
        <s v="10-100"/>
        <s v="1-2"/>
      </sharedItems>
    </cacheField>
  </cacheFields>
  <extLst>
    <ext xmlns:x14="http://schemas.microsoft.com/office/spreadsheetml/2009/9/main" uri="{725AE2AE-9491-48be-B2B4-4EB974FC3084}">
      <x14:pivotCacheDefinition pivotCacheId="425808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n v="112396.23"/>
    <n v="6.7999999999999996E-3"/>
    <n v="2236591973065"/>
    <n v="61196410006"/>
    <s v="19.91M"/>
    <n v="19910000"/>
    <n v="3073.6519340030136"/>
    <n v="1"/>
    <x v="0"/>
  </r>
  <r>
    <x v="1"/>
    <x v="1"/>
    <n v="4631.6899999999996"/>
    <n v="4.3E-3"/>
    <n v="558774287294"/>
    <n v="43714609700"/>
    <s v="120.7M"/>
    <n v="120700000"/>
    <n v="362.17572245236124"/>
    <n v="2"/>
    <x v="1"/>
  </r>
  <r>
    <x v="2"/>
    <x v="2"/>
    <n v="3.02"/>
    <n v="4.4999999999999997E-3"/>
    <n v="179761935139"/>
    <n v="6447508710"/>
    <s v="59.48B"/>
    <n v="59480000000"/>
    <n v="0.10839792720242099"/>
    <n v="3"/>
    <x v="2"/>
  </r>
  <r>
    <x v="3"/>
    <x v="3"/>
    <n v="1"/>
    <n v="6.9999999999999999E-4"/>
    <n v="167211922205"/>
    <n v="117252093277"/>
    <s v="167.2B"/>
    <n v="167200000000"/>
    <n v="0.70126850046052636"/>
    <n v="4"/>
    <x v="3"/>
  </r>
  <r>
    <x v="4"/>
    <x v="4"/>
    <n v="864.91"/>
    <n v="2.3999999999999998E-3"/>
    <n v="120460279991"/>
    <n v="2278674127"/>
    <s v="139.28M"/>
    <n v="139280000"/>
    <n v="16.360382876220562"/>
    <n v="5"/>
    <x v="1"/>
  </r>
  <r>
    <x v="5"/>
    <x v="5"/>
    <n v="208.97"/>
    <n v="7.7999999999999996E-3"/>
    <n v="112989075044"/>
    <n v="10127054144"/>
    <s v="540.67M"/>
    <n v="540670000"/>
    <n v="18.730564196274994"/>
    <n v="6"/>
    <x v="1"/>
  </r>
  <r>
    <x v="6"/>
    <x v="6"/>
    <n v="0.99970000000000003"/>
    <n v="5.9999999999999995E-4"/>
    <n v="69140705171"/>
    <n v="17027792821"/>
    <s v="69.15B"/>
    <n v="69150000000"/>
    <n v="0.24624429242227042"/>
    <n v="7"/>
    <x v="3"/>
  </r>
  <r>
    <x v="7"/>
    <x v="7"/>
    <n v="0.22170000000000001"/>
    <n v="6.7000000000000002E-3"/>
    <n v="33418883909"/>
    <n v="1961967012"/>
    <s v="150.69B"/>
    <n v="150690000000"/>
    <n v="1.3019888592474617E-2"/>
    <n v="8"/>
    <x v="4"/>
  </r>
  <r>
    <x v="8"/>
    <x v="8"/>
    <n v="0.35020000000000001"/>
    <n v="1E-3"/>
    <n v="33151724508"/>
    <n v="973139421"/>
    <s v="94.66B"/>
    <n v="94660000000"/>
    <n v="1.0280365740545109E-2"/>
    <n v="9"/>
    <x v="4"/>
  </r>
  <r>
    <x v="9"/>
    <x v="9"/>
    <n v="0.86929999999999996"/>
    <n v="3.2000000000000002E-3"/>
    <n v="31055700401"/>
    <n v="1153461846"/>
    <s v="35.72B"/>
    <n v="35720000000"/>
    <n v="3.2291765005599105E-2"/>
    <n v="10"/>
    <x v="3"/>
  </r>
  <r>
    <x v="10"/>
    <x v="10"/>
    <n v="0.99950000000000006"/>
    <n v="1E-4"/>
    <n v="687657857"/>
    <n v="64711407"/>
    <s v="687.95M"/>
    <n v="687950000"/>
    <n v="9.4064113671051677E-2"/>
    <n v="16"/>
    <x v="3"/>
  </r>
  <r>
    <x v="11"/>
    <x v="11"/>
    <n v="42.45"/>
    <n v="8.0000000000000002E-3"/>
    <n v="687228061"/>
    <n v="71132312"/>
    <s v="16.18M"/>
    <n v="16180000"/>
    <n v="4.3963110012360938"/>
    <n v="17"/>
    <x v="5"/>
  </r>
  <r>
    <x v="12"/>
    <x v="12"/>
    <n v="9.1999999999999998E-3"/>
    <n v="3.0000000000000001E-3"/>
    <n v="683949558"/>
    <n v="29038108"/>
    <s v="74.48B"/>
    <n v="74480000000"/>
    <n v="3.898779269602578E-4"/>
    <n v="18"/>
    <x v="4"/>
  </r>
  <r>
    <x v="13"/>
    <x v="13"/>
    <n v="0.1171"/>
    <n v="5.1999999999999998E-3"/>
    <n v="673440961"/>
    <n v="24411942"/>
    <s v="5.74B"/>
    <n v="5740000000"/>
    <n v="4.2529515679442511E-3"/>
    <n v="19"/>
    <x v="4"/>
  </r>
  <r>
    <x v="14"/>
    <x v="14"/>
    <n v="6.6699999999999995E-2"/>
    <n v="5.9999999999999995E-4"/>
    <n v="656968217"/>
    <n v="29706225"/>
    <s v="986.06T"/>
    <n v="986060000000000"/>
    <n v="3.0126184005030119E-8"/>
    <n v="20"/>
    <x v="4"/>
  </r>
  <r>
    <x v="15"/>
    <x v="15"/>
    <n v="0.39090000000000003"/>
    <n v="1.5E-3"/>
    <n v="626962319"/>
    <n v="21684159"/>
    <s v="1.6B"/>
    <n v="1600000000"/>
    <n v="1.3552599375E-2"/>
    <n v="22"/>
    <x v="4"/>
  </r>
  <r>
    <x v="16"/>
    <x v="16"/>
    <n v="7.42"/>
    <n v="3.0000000000000001E-3"/>
    <n v="621864440"/>
    <n v="7491105"/>
    <s v="83.73M"/>
    <n v="83730000"/>
    <n v="8.9467395198853453E-2"/>
    <n v="23"/>
    <x v="2"/>
  </r>
  <r>
    <x v="17"/>
    <x v="17"/>
    <n v="0.57740000000000002"/>
    <n v="1.1000000000000001E-3"/>
    <n v="577405381"/>
    <n v="23722335"/>
    <s v="1B"/>
    <n v="1000000000"/>
    <n v="2.3722335000000001E-2"/>
    <n v="25"/>
    <x v="3"/>
  </r>
  <r>
    <x v="18"/>
    <x v="18"/>
    <n v="0.40489999999999998"/>
    <n v="3.3E-3"/>
    <n v="572387192"/>
    <n v="19083906"/>
    <s v="1.41B"/>
    <n v="1410000000"/>
    <n v="1.3534685106382978E-2"/>
    <n v="26"/>
    <x v="4"/>
  </r>
  <r>
    <x v="19"/>
    <x v="19"/>
    <n v="0.28820000000000001"/>
    <n v="3.8999999999999998E-3"/>
    <n v="567782071"/>
    <n v="27296450"/>
    <s v="1.96B"/>
    <n v="1960000000"/>
    <n v="1.3926760204081633E-2"/>
    <n v="27"/>
    <x v="4"/>
  </r>
  <r>
    <x v="20"/>
    <x v="20"/>
    <n v="4.54"/>
    <n v="4.0000000000000002E-4"/>
    <n v="1982420729"/>
    <n v="64466358"/>
    <s v="436.26M"/>
    <n v="436260000"/>
    <n v="0.14777049924357036"/>
    <n v="11"/>
    <x v="2"/>
  </r>
  <r>
    <x v="21"/>
    <x v="21"/>
    <n v="5.48"/>
    <n v="4.7000000000000002E-3"/>
    <n v="1955931785"/>
    <n v="26985300"/>
    <s v="356.55M"/>
    <n v="356550000"/>
    <n v="7.5684476230542697E-2"/>
    <n v="12"/>
    <x v="2"/>
  </r>
  <r>
    <x v="22"/>
    <x v="22"/>
    <n v="1"/>
    <n v="2.0000000000000001E-4"/>
    <n v="1253095193"/>
    <n v="30789467"/>
    <s v="1.25B"/>
    <n v="1250000000"/>
    <n v="2.4631573600000001E-2"/>
    <n v="13"/>
    <x v="3"/>
  </r>
  <r>
    <x v="23"/>
    <x v="23"/>
    <n v="2.4E-2"/>
    <n v="2.2000000000000001E-3"/>
    <n v="738956737"/>
    <n v="8289454"/>
    <s v="30.84B"/>
    <n v="30840000000"/>
    <n v="2.6878904020752271E-4"/>
    <n v="14"/>
    <x v="4"/>
  </r>
  <r>
    <x v="24"/>
    <x v="24"/>
    <n v="1.1000000000000001"/>
    <n v="1.1000000000000001E-3"/>
    <n v="691597867"/>
    <n v="1338625"/>
    <s v="626.67M"/>
    <n v="626670000"/>
    <n v="2.1360923612108447E-3"/>
    <n v="15"/>
    <x v="6"/>
  </r>
  <r>
    <x v="25"/>
    <x v="25"/>
    <n v="0.99829999999999997"/>
    <n v="0"/>
    <n v="642088143"/>
    <n v="4463129"/>
    <s v="643.12M"/>
    <n v="643120000"/>
    <n v="6.9398075009329515E-3"/>
    <n v="21"/>
    <x v="3"/>
  </r>
  <r>
    <x v="26"/>
    <x v="26"/>
    <n v="0.17449999999999999"/>
    <n v="5.8999999999999999E-3"/>
    <n v="607020903"/>
    <n v="1377265"/>
    <s v="3.47B"/>
    <n v="3470000000"/>
    <n v="3.9690634005763687E-4"/>
    <n v="24"/>
    <x v="4"/>
  </r>
  <r>
    <x v="27"/>
    <x v="27"/>
    <n v="7.6300000000000007E-2"/>
    <n v="2.3E-3"/>
    <n v="545355889"/>
    <n v="4396792"/>
    <s v="7.14B"/>
    <n v="7140000000"/>
    <n v="6.1579719887955178E-4"/>
    <n v="28"/>
    <x v="4"/>
  </r>
  <r>
    <x v="28"/>
    <x v="28"/>
    <n v="0.99980000000000002"/>
    <n v="2.9999999999999997E-4"/>
    <n v="538269461"/>
    <n v="5715956"/>
    <s v="538.36M"/>
    <n v="538360000"/>
    <n v="1.0617348985808753E-2"/>
    <n v="29"/>
    <x v="3"/>
  </r>
  <r>
    <x v="29"/>
    <x v="29"/>
    <n v="1.94"/>
    <n v="1.6000000000000001E-3"/>
    <n v="503419749"/>
    <n v="325843"/>
    <s v="258.97M"/>
    <n v="258970000.00000003"/>
    <n v="1.258226821639572E-3"/>
    <n v="30"/>
    <x v="6"/>
  </r>
  <r>
    <x v="30"/>
    <x v="30"/>
    <n v="7.1400000000000005E-2"/>
    <n v="4.0000000000000002E-4"/>
    <n v="136125306"/>
    <n v="6721454"/>
    <s v="1.9B"/>
    <n v="1900000000"/>
    <n v="3.5376073684210527E-3"/>
    <n v="31"/>
    <x v="4"/>
  </r>
  <r>
    <x v="31"/>
    <x v="31"/>
    <n v="0.99950000000000006"/>
    <n v="0"/>
    <n v="132578463"/>
    <n v="343471"/>
    <s v="132.63M"/>
    <n v="132630000"/>
    <n v="2.5896931312674358E-3"/>
    <n v="32"/>
    <x v="3"/>
  </r>
  <r>
    <x v="32"/>
    <x v="32"/>
    <n v="0.99960000000000004"/>
    <n v="2.0000000000000001E-4"/>
    <n v="131915058"/>
    <n v="1092882"/>
    <s v="131.95M"/>
    <n v="131949999.99999999"/>
    <n v="8.2825464190981433E-3"/>
    <n v="33"/>
    <x v="3"/>
  </r>
  <r>
    <x v="33"/>
    <x v="33"/>
    <n v="0.13320000000000001"/>
    <n v="4.3E-3"/>
    <n v="131880666"/>
    <n v="2531201"/>
    <s v="989.35M"/>
    <n v="989350000"/>
    <n v="2.5584484762722999E-3"/>
    <n v="34"/>
    <x v="4"/>
  </r>
  <r>
    <x v="34"/>
    <x v="34"/>
    <n v="0.27810000000000001"/>
    <n v="1.3100000000000001E-2"/>
    <n v="129554753"/>
    <n v="7930906"/>
    <s v="465.83M"/>
    <n v="465830000"/>
    <n v="1.7025322542558445E-2"/>
    <n v="35"/>
    <x v="4"/>
  </r>
  <r>
    <x v="35"/>
    <x v="35"/>
    <n v="0.99970000000000003"/>
    <n v="1E-4"/>
    <n v="128872926"/>
    <n v="8432086"/>
    <s v="128.9M"/>
    <n v="128900000"/>
    <n v="6.5415717610550816E-2"/>
    <n v="36"/>
    <x v="3"/>
  </r>
  <r>
    <x v="36"/>
    <x v="36"/>
    <n v="4.9599999999999998E-2"/>
    <n v="5.0000000000000001E-3"/>
    <n v="128393361"/>
    <n v="10778520"/>
    <s v="2.59B"/>
    <n v="2590000000"/>
    <n v="4.1615907335907339E-3"/>
    <n v="37"/>
    <x v="4"/>
  </r>
  <r>
    <x v="37"/>
    <x v="37"/>
    <n v="2.6700000000000002E-2"/>
    <n v="5.0000000000000001E-4"/>
    <n v="128203844"/>
    <n v="10487502"/>
    <s v="4.79B"/>
    <n v="4790000000"/>
    <n v="2.1894576200417537E-3"/>
    <n v="38"/>
    <x v="4"/>
  </r>
  <r>
    <x v="38"/>
    <x v="38"/>
    <n v="6.8099999999999994E-2"/>
    <n v="4.3E-3"/>
    <n v="127672149"/>
    <n v="11344790"/>
    <s v="1.87B"/>
    <n v="1870000000"/>
    <n v="6.0667326203208555E-3"/>
    <n v="39"/>
    <x v="4"/>
  </r>
  <r>
    <x v="39"/>
    <x v="39"/>
    <n v="4.24"/>
    <n v="1.9E-3"/>
    <n v="127660598"/>
    <n v="9341488"/>
    <s v="30.08M"/>
    <n v="30080000"/>
    <n v="0.31055478723404256"/>
    <n v="40"/>
    <x v="2"/>
  </r>
  <r>
    <x v="40"/>
    <x v="40"/>
    <n v="0.43259999999999998"/>
    <n v="1.32E-2"/>
    <n v="87828987"/>
    <n v="9141404"/>
    <s v="203.02M"/>
    <n v="203020000"/>
    <n v="4.5027110629494632E-2"/>
    <n v="41"/>
    <x v="4"/>
  </r>
  <r>
    <x v="41"/>
    <x v="41"/>
    <n v="1.62"/>
    <n v="1E-3"/>
    <n v="87776158"/>
    <n v="9108166"/>
    <s v="54.05M"/>
    <n v="54050000"/>
    <n v="0.16851370952821462"/>
    <n v="42"/>
    <x v="6"/>
  </r>
  <r>
    <x v="42"/>
    <x v="42"/>
    <n v="0.69950000000000001"/>
    <n v="0"/>
    <n v="86786092"/>
    <n v="24699"/>
    <s v="124.06M"/>
    <n v="124060000"/>
    <n v="1.9908915041109141E-4"/>
    <n v="43"/>
    <x v="3"/>
  </r>
  <r>
    <x v="43"/>
    <x v="43"/>
    <n v="2.88"/>
    <n v="1.2999999999999999E-3"/>
    <n v="86613592"/>
    <n v="295825"/>
    <s v="30M"/>
    <n v="30000000"/>
    <n v="9.8608333333333326E-3"/>
    <n v="44"/>
    <x v="2"/>
  </r>
  <r>
    <x v="44"/>
    <x v="44"/>
    <n v="8.6499999999999994E-2"/>
    <n v="2.0000000000000001E-4"/>
    <n v="86345798"/>
    <n v="4522686"/>
    <s v="998.46M"/>
    <n v="998460000"/>
    <n v="4.5296616789856376E-3"/>
    <n v="46"/>
    <x v="4"/>
  </r>
  <r>
    <x v="45"/>
    <x v="45"/>
    <n v="6.4000000000000001E-2"/>
    <n v="1.9E-3"/>
    <n v="86441423"/>
    <n v="6787116"/>
    <s v="1.35B"/>
    <n v="1350000000"/>
    <n v="5.0274933333333332E-3"/>
    <n v="45"/>
    <x v="4"/>
  </r>
  <r>
    <x v="46"/>
    <x v="46"/>
    <n v="0.45040000000000002"/>
    <n v="5.1999999999999998E-3"/>
    <n v="85996731"/>
    <n v="4342188"/>
    <s v="190.9M"/>
    <n v="190900000"/>
    <n v="2.2745877422734415E-2"/>
    <n v="47"/>
    <x v="4"/>
  </r>
  <r>
    <x v="47"/>
    <x v="47"/>
    <n v="8.5699999999999998E-2"/>
    <n v="8.8000000000000005E-3"/>
    <n v="85680579"/>
    <n v="14947172"/>
    <s v="999.99M"/>
    <n v="999990000"/>
    <n v="1.4947321473214733E-2"/>
    <n v="48"/>
    <x v="4"/>
  </r>
  <r>
    <x v="48"/>
    <x v="48"/>
    <n v="8.5400000000000004E-2"/>
    <n v="3.8E-3"/>
    <n v="85436011"/>
    <n v="10238715"/>
    <s v="999.96M"/>
    <n v="999960000"/>
    <n v="1.0239124564982599E-2"/>
    <n v="49"/>
    <x v="4"/>
  </r>
  <r>
    <x v="49"/>
    <x v="49"/>
    <n v="3.1399999999999997E-2"/>
    <n v="7.7000000000000002E-3"/>
    <n v="62836837"/>
    <n v="13787251"/>
    <s v="2B"/>
    <n v="2000000000"/>
    <n v="6.8936255000000002E-3"/>
    <n v="50"/>
    <x v="4"/>
  </r>
  <r>
    <x v="50"/>
    <x v="50"/>
    <n v="0.72919999999999996"/>
    <n v="8.9999999999999998E-4"/>
    <n v="62825935"/>
    <n v="1249114"/>
    <s v="86.14M"/>
    <n v="86140000"/>
    <n v="1.4500975156721616E-2"/>
    <n v="51"/>
    <x v="3"/>
  </r>
  <r>
    <x v="51"/>
    <x v="51"/>
    <n v="8.0000000000000002E-3"/>
    <n v="5.1999999999999998E-3"/>
    <n v="62746080"/>
    <n v="5327551"/>
    <s v="7.8B"/>
    <n v="7800000000"/>
    <n v="6.8301935897435901E-4"/>
    <n v="52"/>
    <x v="4"/>
  </r>
  <r>
    <x v="52"/>
    <x v="52"/>
    <n v="7.9799999999999996E-2"/>
    <n v="6.9999999999999999E-4"/>
    <n v="62547790"/>
    <n v="9047350"/>
    <s v="783.57M"/>
    <n v="783570000"/>
    <n v="1.1546320047985502E-2"/>
    <n v="53"/>
    <x v="4"/>
  </r>
  <r>
    <x v="53"/>
    <x v="53"/>
    <n v="2.8999999999999998E-3"/>
    <n v="8.0000000000000004E-4"/>
    <n v="62328087"/>
    <n v="2058149"/>
    <s v="21.29B"/>
    <n v="21290000000"/>
    <n v="9.6672099577266326E-5"/>
    <n v="54"/>
    <x v="4"/>
  </r>
  <r>
    <x v="54"/>
    <x v="54"/>
    <n v="11.79"/>
    <n v="2.3999999999999998E-3"/>
    <n v="62064898"/>
    <n v="76515"/>
    <s v="5.26M"/>
    <n v="5260000"/>
    <n v="1.4546577946768061E-2"/>
    <n v="55"/>
    <x v="5"/>
  </r>
  <r>
    <x v="55"/>
    <x v="55"/>
    <n v="0.18160000000000001"/>
    <n v="2.0999999999999999E-3"/>
    <n v="61786840"/>
    <n v="8267657"/>
    <s v="340.13M"/>
    <n v="340130000"/>
    <n v="2.4307344250727662E-2"/>
    <n v="56"/>
    <x v="4"/>
  </r>
  <r>
    <x v="56"/>
    <x v="56"/>
    <n v="10.119999999999999"/>
    <n v="2.0999999999999999E-3"/>
    <n v="61648001"/>
    <n v="27805860"/>
    <s v="6.09M"/>
    <n v="6090000"/>
    <n v="4.5658226600985223"/>
    <n v="57"/>
    <x v="5"/>
  </r>
  <r>
    <x v="57"/>
    <x v="57"/>
    <n v="5.1999999999999998E-3"/>
    <n v="1.4E-3"/>
    <n v="61619476"/>
    <n v="213098"/>
    <s v="11.82B"/>
    <n v="11820000000"/>
    <n v="1.8028595600676818E-5"/>
    <n v="58"/>
    <x v="4"/>
  </r>
  <r>
    <x v="58"/>
    <x v="58"/>
    <n v="2.17"/>
    <n v="3.0999999999999999E-3"/>
    <n v="61481343"/>
    <n v="2564140"/>
    <s v="28.3M"/>
    <n v="28300000"/>
    <n v="9.0605653710247355E-2"/>
    <n v="59"/>
    <x v="2"/>
  </r>
  <r>
    <x v="59"/>
    <x v="59"/>
    <n v="0.67269999999999996"/>
    <n v="1.2999999999999999E-2"/>
    <n v="45704968"/>
    <n v="35491"/>
    <s v="67.93M"/>
    <n v="67930000"/>
    <n v="5.224643014868247E-4"/>
    <n v="60"/>
    <x v="3"/>
  </r>
  <r>
    <x v="60"/>
    <x v="60"/>
    <n v="7.4000000000000003E-3"/>
    <n v="0"/>
    <n v="45421680"/>
    <n v="758766"/>
    <s v="6.17B"/>
    <n v="6170000000"/>
    <n v="1.2297666126418152E-4"/>
    <n v="61"/>
    <x v="4"/>
  </r>
  <r>
    <x v="61"/>
    <x v="61"/>
    <n v="2.3599999999999999E-2"/>
    <n v="1.6000000000000001E-3"/>
    <n v="45403740"/>
    <n v="10853972"/>
    <s v="1.92B"/>
    <n v="1920000000"/>
    <n v="5.6531104166666667E-3"/>
    <n v="62"/>
    <x v="4"/>
  </r>
  <r>
    <x v="62"/>
    <x v="62"/>
    <n v="6.7400000000000002E-2"/>
    <n v="1.1900000000000001E-2"/>
    <n v="45353098"/>
    <n v="19016000"/>
    <s v="672.7M"/>
    <n v="672700000"/>
    <n v="2.8268173034041919E-2"/>
    <n v="63"/>
    <x v="4"/>
  </r>
  <r>
    <x v="63"/>
    <x v="63"/>
    <n v="0.2525"/>
    <n v="2.3999999999999998E-3"/>
    <n v="45266206"/>
    <n v="339268"/>
    <s v="179.2M"/>
    <n v="179200000"/>
    <n v="1.8932366071428572E-3"/>
    <n v="64"/>
    <x v="4"/>
  </r>
  <r>
    <x v="64"/>
    <x v="64"/>
    <n v="1.24E-2"/>
    <n v="5.8999999999999999E-3"/>
    <n v="45071702"/>
    <n v="10189722"/>
    <s v="3.64B"/>
    <n v="3640000000"/>
    <n v="2.7993741758241758E-3"/>
    <n v="65"/>
    <x v="4"/>
  </r>
  <r>
    <x v="65"/>
    <x v="65"/>
    <n v="0.42049999999999998"/>
    <n v="4.4999999999999997E-3"/>
    <n v="45027836"/>
    <n v="401821"/>
    <s v="107.05M"/>
    <n v="107050000"/>
    <n v="3.7535824381130312E-3"/>
    <n v="66"/>
    <x v="4"/>
  </r>
  <r>
    <x v="66"/>
    <x v="66"/>
    <n v="1.01"/>
    <n v="4.0000000000000001E-3"/>
    <n v="44872405"/>
    <n v="10068683"/>
    <s v="44.05M"/>
    <n v="44050000"/>
    <n v="0.22857396140749148"/>
    <n v="67"/>
    <x v="6"/>
  </r>
  <r>
    <x v="67"/>
    <x v="67"/>
    <n v="0.249"/>
    <n v="3.0999999999999999E-3"/>
    <n v="44330157"/>
    <n v="68082352"/>
    <s v="177.96M"/>
    <n v="177960000"/>
    <n v="0.38257109462800631"/>
    <n v="68"/>
    <x v="4"/>
  </r>
  <r>
    <x v="68"/>
    <x v="68"/>
    <n v="0.1618"/>
    <n v="2.9999999999999997E-4"/>
    <n v="35354744"/>
    <n v="121069"/>
    <s v="218.43M"/>
    <n v="218430000"/>
    <n v="5.5426910222954723E-4"/>
    <n v="69"/>
    <x v="4"/>
  </r>
  <r>
    <x v="32"/>
    <x v="69"/>
    <n v="0.1431"/>
    <n v="7.9000000000000008E-3"/>
    <n v="35264904"/>
    <n v="7857060"/>
    <s v="246.36M"/>
    <n v="246360000"/>
    <n v="3.1892596200681932E-2"/>
    <n v="70"/>
    <x v="4"/>
  </r>
  <r>
    <x v="69"/>
    <x v="70"/>
    <n v="2.0500000000000001E-2"/>
    <n v="1.1999999999999999E-3"/>
    <n v="35141644"/>
    <n v="129282"/>
    <s v="1.71B"/>
    <n v="1710000000"/>
    <n v="7.560350877192982E-5"/>
    <n v="71"/>
    <x v="4"/>
  </r>
  <r>
    <x v="70"/>
    <x v="71"/>
    <n v="3.0099999999999998E-2"/>
    <n v="2.5000000000000001E-3"/>
    <n v="35138416"/>
    <n v="5538677"/>
    <s v="1.16B"/>
    <n v="1160000000"/>
    <n v="4.7747215517241377E-3"/>
    <n v="72"/>
    <x v="4"/>
  </r>
  <r>
    <x v="71"/>
    <x v="72"/>
    <n v="0.89870000000000005"/>
    <n v="8.9999999999999993E-3"/>
    <n v="35080411"/>
    <n v="9778739"/>
    <s v="39.03M"/>
    <n v="39030000"/>
    <n v="0.25054417115039712"/>
    <n v="73"/>
    <x v="3"/>
  </r>
  <r>
    <x v="72"/>
    <x v="73"/>
    <n v="0.1125"/>
    <n v="6.6E-3"/>
    <n v="35034139"/>
    <n v="50371789"/>
    <s v="311.3M"/>
    <n v="311300000"/>
    <n v="0.16181107934468358"/>
    <n v="74"/>
    <x v="4"/>
  </r>
  <r>
    <x v="73"/>
    <x v="74"/>
    <n v="6.1000000000000004E-3"/>
    <n v="1.4E-3"/>
    <n v="34972612"/>
    <n v="1391859"/>
    <s v="5.73B"/>
    <n v="5730000000"/>
    <n v="2.4290732984293194E-4"/>
    <n v="75"/>
    <x v="4"/>
  </r>
  <r>
    <x v="74"/>
    <x v="75"/>
    <n v="1.23"/>
    <n v="2.0000000000000001E-4"/>
    <n v="34798359"/>
    <n v="75600"/>
    <s v="28.27M"/>
    <n v="28270000"/>
    <n v="2.6742129465864876E-3"/>
    <n v="76"/>
    <x v="6"/>
  </r>
  <r>
    <x v="75"/>
    <x v="76"/>
    <n v="2.2800000000000001E-2"/>
    <n v="1.9E-3"/>
    <n v="34575104"/>
    <n v="18844509"/>
    <s v="1.51B"/>
    <n v="1510000000"/>
    <n v="1.2479807284768211E-2"/>
    <n v="77"/>
    <x v="4"/>
  </r>
  <r>
    <x v="76"/>
    <x v="77"/>
    <n v="3.6900000000000002E-2"/>
    <n v="7.1999999999999998E-3"/>
    <n v="34508739"/>
    <n v="8324722"/>
    <s v="935.81M"/>
    <n v="935810000"/>
    <n v="8.8957395197743136E-3"/>
    <n v="78"/>
    <x v="4"/>
  </r>
  <r>
    <x v="77"/>
    <x v="78"/>
    <n v="3.1899999999999998E-2"/>
    <n v="2.1600000000000001E-2"/>
    <n v="26070319"/>
    <n v="467706"/>
    <s v="818.17M"/>
    <n v="818170000"/>
    <n v="5.7164892381778845E-4"/>
    <n v="79"/>
    <x v="4"/>
  </r>
  <r>
    <x v="78"/>
    <x v="79"/>
    <n v="3.8999999999999998E-3"/>
    <n v="1.5900000000000001E-2"/>
    <n v="26014561"/>
    <n v="6727701"/>
    <s v="6.67B"/>
    <n v="6670000000"/>
    <n v="1.0086508245877061E-3"/>
    <n v="80"/>
    <x v="4"/>
  </r>
  <r>
    <x v="79"/>
    <x v="80"/>
    <n v="0.62219999999999998"/>
    <n v="6.7000000000000002E-3"/>
    <n v="25922954"/>
    <n v="9982050"/>
    <s v="41.65M"/>
    <n v="41650000"/>
    <n v="0.23966506602641058"/>
    <n v="81"/>
    <x v="3"/>
  </r>
  <r>
    <x v="80"/>
    <x v="81"/>
    <n v="7.6200000000000004E-2"/>
    <n v="3.7000000000000002E-3"/>
    <n v="25873467"/>
    <n v="11510400"/>
    <s v="420.69T"/>
    <n v="420690000000000"/>
    <n v="2.736076445838979E-8"/>
    <n v="82"/>
    <x v="4"/>
  </r>
  <r>
    <x v="81"/>
    <x v="82"/>
    <n v="2.1100000000000001E-2"/>
    <n v="5.0000000000000001E-3"/>
    <n v="25788064"/>
    <n v="1225263"/>
    <s v="1.22B"/>
    <n v="1220000000"/>
    <n v="1.0043139344262295E-3"/>
    <n v="83"/>
    <x v="4"/>
  </r>
  <r>
    <x v="82"/>
    <x v="83"/>
    <n v="2.58E-2"/>
    <n v="1.09E-2"/>
    <n v="25759341"/>
    <n v="2642277"/>
    <s v="1B"/>
    <n v="1000000000"/>
    <n v="2.6422770000000002E-3"/>
    <n v="84"/>
    <x v="4"/>
  </r>
  <r>
    <x v="83"/>
    <x v="84"/>
    <n v="0.1085"/>
    <n v="0"/>
    <n v="25730460"/>
    <n v="64349"/>
    <s v="236.99M"/>
    <n v="236990000"/>
    <n v="2.715262247352209E-4"/>
    <n v="85"/>
    <x v="4"/>
  </r>
  <r>
    <x v="84"/>
    <x v="85"/>
    <n v="9.5600000000000004E-2"/>
    <n v="9.1999999999999998E-3"/>
    <n v="25696932"/>
    <n v="1704625"/>
    <s v="268.88M"/>
    <n v="268880000"/>
    <n v="6.3397240404641474E-3"/>
    <n v="86"/>
    <x v="4"/>
  </r>
  <r>
    <x v="85"/>
    <x v="86"/>
    <n v="2.5499999999999998E-2"/>
    <n v="5.9999999999999995E-4"/>
    <n v="25507544"/>
    <n v="5524554"/>
    <s v="999.97M"/>
    <n v="999970000"/>
    <n v="5.5247197415922477E-3"/>
    <n v="87"/>
    <x v="4"/>
  </r>
  <r>
    <x v="86"/>
    <x v="87"/>
    <n v="0.85289999999999999"/>
    <n v="1.2999999999999999E-3"/>
    <n v="25471481"/>
    <n v="43405"/>
    <s v="29.86M"/>
    <n v="29860000"/>
    <n v="1.4536168787675819E-3"/>
    <n v="88"/>
    <x v="3"/>
  </r>
  <r>
    <x v="87"/>
    <x v="88"/>
    <n v="0.99880000000000002"/>
    <n v="2.9999999999999997E-4"/>
    <n v="18990853"/>
    <n v="228239"/>
    <s v="19.01M"/>
    <n v="19010000"/>
    <n v="1.2006259863229878E-2"/>
    <n v="89"/>
    <x v="3"/>
  </r>
  <r>
    <x v="88"/>
    <x v="89"/>
    <n v="3.7900000000000003E-2"/>
    <n v="0"/>
    <n v="18961083"/>
    <n v="706323"/>
    <s v="500M"/>
    <n v="500000000"/>
    <n v="1.412646E-3"/>
    <n v="90"/>
    <x v="4"/>
  </r>
  <r>
    <x v="89"/>
    <x v="90"/>
    <n v="0.02"/>
    <n v="2.9999999999999997E-4"/>
    <n v="18957669"/>
    <n v="357326"/>
    <s v="946.97M"/>
    <n v="946970000"/>
    <n v="3.7733613525243673E-4"/>
    <n v="91"/>
    <x v="4"/>
  </r>
  <r>
    <x v="90"/>
    <x v="91"/>
    <n v="8.1699999999999995E-2"/>
    <n v="5.1999999999999998E-3"/>
    <n v="18817231"/>
    <n v="5622803"/>
    <s v="230.25M"/>
    <n v="230250000"/>
    <n v="2.4420425624321389E-2"/>
    <n v="92"/>
    <x v="4"/>
  </r>
  <r>
    <x v="91"/>
    <x v="92"/>
    <n v="5.4999999999999997E-3"/>
    <n v="1.06E-2"/>
    <n v="18668308"/>
    <n v="181555"/>
    <s v="3.39B"/>
    <n v="3390000000"/>
    <n v="5.3556047197640117E-5"/>
    <n v="93"/>
    <x v="4"/>
  </r>
  <r>
    <x v="92"/>
    <x v="93"/>
    <n v="3.8899999999999997E-2"/>
    <n v="0"/>
    <n v="18667205"/>
    <n v="1002"/>
    <s v="479.99M"/>
    <n v="479990000"/>
    <n v="2.0875434904893851E-6"/>
    <n v="94"/>
    <x v="4"/>
  </r>
  <r>
    <x v="93"/>
    <x v="94"/>
    <n v="9.4000000000000004E-3"/>
    <n v="4.0000000000000002E-4"/>
    <n v="18606007"/>
    <n v="189918"/>
    <s v="1.98B"/>
    <n v="1980000000"/>
    <n v="9.591818181818182E-5"/>
    <n v="95"/>
    <x v="4"/>
  </r>
  <r>
    <x v="94"/>
    <x v="95"/>
    <n v="6.6400000000000001E-2"/>
    <n v="6.9999999999999999E-4"/>
    <n v="18591856"/>
    <n v="4765140"/>
    <s v="280M"/>
    <n v="280000000"/>
    <n v="1.7018357142857144E-2"/>
    <n v="96"/>
    <x v="4"/>
  </r>
  <r>
    <x v="95"/>
    <x v="96"/>
    <n v="2.18E-2"/>
    <n v="7.7000000000000002E-3"/>
    <n v="18540898"/>
    <n v="4492892"/>
    <s v="850.96M"/>
    <n v="850960000"/>
    <n v="5.2797922346526274E-3"/>
    <n v="97"/>
    <x v="4"/>
  </r>
  <r>
    <x v="96"/>
    <x v="97"/>
    <n v="16.850000000000001"/>
    <n v="5.0000000000000001E-3"/>
    <n v="18536240"/>
    <n v="119734"/>
    <s v="1.1M"/>
    <n v="1100000"/>
    <n v="0.10884909090909091"/>
    <n v="98"/>
    <x v="5"/>
  </r>
  <r>
    <x v="97"/>
    <x v="98"/>
    <n v="0.1108"/>
    <n v="1.04E-2"/>
    <n v="14785022"/>
    <n v="32485149"/>
    <s v="133.39M"/>
    <n v="133389999.99999999"/>
    <n v="0.24353511507609268"/>
    <n v="99"/>
    <x v="4"/>
  </r>
  <r>
    <x v="98"/>
    <x v="99"/>
    <n v="7.0000000000000001E-3"/>
    <n v="4.5999999999999999E-3"/>
    <n v="14719301"/>
    <n v="138"/>
    <s v="2.09B"/>
    <n v="2089999999.9999998"/>
    <n v="6.6028708133971298E-8"/>
    <n v="100"/>
    <x v="4"/>
  </r>
  <r>
    <x v="99"/>
    <x v="100"/>
    <n v="4.0000000000000002E-4"/>
    <n v="1.1000000000000001E-3"/>
    <n v="14681529"/>
    <n v="499518"/>
    <s v="40.64B"/>
    <n v="40640000000"/>
    <n v="1.2291289370078741E-5"/>
    <n v="101"/>
    <x v="4"/>
  </r>
  <r>
    <x v="100"/>
    <x v="101"/>
    <n v="2.0000000000000001E-4"/>
    <n v="5.1999999999999998E-3"/>
    <n v="14616635"/>
    <n v="6112676"/>
    <s v="69B"/>
    <n v="69000000000"/>
    <n v="8.8589507246376807E-5"/>
    <n v="102"/>
    <x v="4"/>
  </r>
  <r>
    <x v="101"/>
    <x v="102"/>
    <n v="3.32E-2"/>
    <n v="0"/>
    <n v="14606826"/>
    <n v="4251361"/>
    <s v="439.65M"/>
    <n v="439650000"/>
    <n v="9.6698760377573068E-3"/>
    <n v="103"/>
    <x v="4"/>
  </r>
  <r>
    <x v="102"/>
    <x v="103"/>
    <n v="2.9899999999999999E-2"/>
    <n v="1E-4"/>
    <n v="14570562"/>
    <n v="316134"/>
    <s v="487.69M"/>
    <n v="487690000"/>
    <n v="6.4822735754270131E-4"/>
    <n v="104"/>
    <x v="4"/>
  </r>
  <r>
    <x v="103"/>
    <x v="104"/>
    <n v="7.1599999999999997E-2"/>
    <n v="4.1000000000000003E-3"/>
    <n v="14516193"/>
    <n v="542805"/>
    <s v="899.59T"/>
    <n v="899590000000000"/>
    <n v="6.0339154503718361E-10"/>
    <n v="105"/>
    <x v="4"/>
  </r>
  <r>
    <x v="104"/>
    <x v="105"/>
    <n v="1.44E-2"/>
    <n v="1.4E-3"/>
    <n v="14440722"/>
    <n v="1406872"/>
    <s v="999.99M"/>
    <n v="999990000"/>
    <n v="1.4068860688606886E-3"/>
    <n v="106"/>
    <x v="4"/>
  </r>
  <r>
    <x v="105"/>
    <x v="106"/>
    <n v="0.1963"/>
    <n v="8.0999999999999996E-3"/>
    <n v="14425837"/>
    <n v="686075"/>
    <s v="73.46M"/>
    <n v="73460000"/>
    <n v="9.3394364279880213E-3"/>
    <n v="107"/>
    <x v="4"/>
  </r>
  <r>
    <x v="106"/>
    <x v="107"/>
    <n v="1.4800000000000001E-2"/>
    <n v="1.1999999999999999E-3"/>
    <n v="14389863"/>
    <n v="34241"/>
    <s v="969.99M"/>
    <n v="969990000"/>
    <n v="3.5300363921277537E-5"/>
    <n v="108"/>
    <x v="4"/>
  </r>
  <r>
    <x v="107"/>
    <x v="108"/>
    <n v="4.2999999999999997E-2"/>
    <n v="2.8E-3"/>
    <n v="11345859"/>
    <n v="810252"/>
    <s v="263.73M"/>
    <n v="263730000.00000003"/>
    <n v="3.0722784666135819E-3"/>
    <n v="109"/>
    <x v="4"/>
  </r>
  <r>
    <x v="108"/>
    <x v="109"/>
    <n v="1.6899999999999998E-2"/>
    <n v="1.0999999999999999E-2"/>
    <n v="11304052"/>
    <n v="8799764"/>
    <s v="670.18M"/>
    <n v="670180000"/>
    <n v="1.3130448536214151E-2"/>
    <n v="110"/>
    <x v="4"/>
  </r>
  <r>
    <x v="109"/>
    <x v="110"/>
    <n v="5.6399999999999999E-2"/>
    <n v="5.0000000000000001E-4"/>
    <n v="11274163"/>
    <n v="6405267"/>
    <s v="200M"/>
    <n v="200000000"/>
    <n v="3.2026335000000003E-2"/>
    <n v="111"/>
    <x v="4"/>
  </r>
  <r>
    <x v="110"/>
    <x v="111"/>
    <n v="0.32490000000000002"/>
    <n v="4.5999999999999999E-3"/>
    <n v="11243721"/>
    <n v="25910"/>
    <s v="34.59M"/>
    <n v="34590000"/>
    <n v="7.4906042208730842E-4"/>
    <n v="112"/>
    <x v="4"/>
  </r>
  <r>
    <x v="111"/>
    <x v="112"/>
    <n v="0.18329999999999999"/>
    <n v="2.5999999999999999E-2"/>
    <n v="11181505"/>
    <n v="95241"/>
    <s v="60.97M"/>
    <n v="60970000"/>
    <n v="1.5620961128423815E-3"/>
    <n v="114"/>
    <x v="4"/>
  </r>
  <r>
    <x v="112"/>
    <x v="113"/>
    <n v="1.24E-2"/>
    <n v="1.6400000000000001E-2"/>
    <n v="11184297"/>
    <n v="1157910"/>
    <s v="899.84M"/>
    <n v="899840000"/>
    <n v="1.2867954302987197E-3"/>
    <n v="113"/>
    <x v="4"/>
  </r>
  <r>
    <x v="113"/>
    <x v="114"/>
    <n v="4.1999999999999997E-3"/>
    <n v="8.6999999999999994E-3"/>
    <n v="11144288"/>
    <n v="19472"/>
    <s v="2.62B"/>
    <n v="2620000000"/>
    <n v="7.4320610687022905E-6"/>
    <n v="116"/>
    <x v="4"/>
  </r>
  <r>
    <x v="114"/>
    <x v="115"/>
    <n v="7.4499999999999997E-2"/>
    <n v="5.1000000000000004E-3"/>
    <n v="11155057"/>
    <n v="233918"/>
    <s v="247.73T"/>
    <n v="247730000000000"/>
    <n v="9.4424575142292003E-10"/>
    <n v="115"/>
    <x v="4"/>
  </r>
  <r>
    <x v="115"/>
    <x v="116"/>
    <n v="0.21590000000000001"/>
    <n v="3.8E-3"/>
    <n v="11101030"/>
    <n v="105278"/>
    <s v="51.39M"/>
    <n v="51390000"/>
    <n v="2.0486086787312708E-3"/>
    <n v="117"/>
    <x v="4"/>
  </r>
  <r>
    <x v="116"/>
    <x v="117"/>
    <n v="5.0000000000000001E-4"/>
    <n v="9.1999999999999998E-3"/>
    <n v="11082865"/>
    <n v="8599503"/>
    <s v="22.79B"/>
    <n v="22790000000"/>
    <n v="3.7733668275559455E-4"/>
    <n v="118"/>
    <x v="4"/>
  </r>
  <r>
    <x v="117"/>
    <x v="118"/>
    <n v="0.99929999999999997"/>
    <n v="5.0000000000000001E-4"/>
    <n v="8799631"/>
    <n v="50214459"/>
    <s v="8.8M"/>
    <n v="8800000"/>
    <n v="5.7061885227272731"/>
    <n v="119"/>
    <x v="3"/>
  </r>
  <r>
    <x v="118"/>
    <x v="119"/>
    <n v="3.38"/>
    <n v="8.9999999999999998E-4"/>
    <n v="8770979"/>
    <n v="10"/>
    <s v="2.59M"/>
    <n v="2590000"/>
    <n v="3.8610038610038611E-6"/>
    <n v="120"/>
    <x v="2"/>
  </r>
  <r>
    <x v="119"/>
    <x v="120"/>
    <n v="0.89400000000000002"/>
    <n v="3.7000000000000002E-3"/>
    <n v="8762689"/>
    <n v="1784357"/>
    <s v="9.8M"/>
    <n v="9800000"/>
    <n v="0.18207724489795918"/>
    <n v="121"/>
    <x v="3"/>
  </r>
  <r>
    <x v="120"/>
    <x v="121"/>
    <n v="8.8000000000000005E-3"/>
    <n v="1.1299999999999999E-2"/>
    <n v="8757334"/>
    <n v="1018996"/>
    <s v="990.28M"/>
    <n v="990280000"/>
    <n v="1.0289978591913398E-3"/>
    <n v="122"/>
    <x v="4"/>
  </r>
  <r>
    <x v="121"/>
    <x v="122"/>
    <n v="3.6299999999999999E-2"/>
    <n v="1.4E-3"/>
    <n v="8738652"/>
    <n v="849245"/>
    <s v="240.6M"/>
    <n v="240600000"/>
    <n v="3.529696591853699E-3"/>
    <n v="123"/>
    <x v="4"/>
  </r>
  <r>
    <x v="122"/>
    <x v="123"/>
    <n v="4.5600000000000002E-2"/>
    <n v="2.3999999999999998E-3"/>
    <n v="8732769"/>
    <n v="31161"/>
    <s v="191.31M"/>
    <n v="191310000"/>
    <n v="1.6288223302493335E-4"/>
    <n v="124"/>
    <x v="4"/>
  </r>
  <r>
    <x v="123"/>
    <x v="124"/>
    <n v="8.7099999999999997E-2"/>
    <n v="6.1999999999999998E-3"/>
    <n v="8712671"/>
    <n v="260752"/>
    <s v="99.99M"/>
    <n v="99990000"/>
    <n v="2.607780778077808E-3"/>
    <n v="125"/>
    <x v="4"/>
  </r>
  <r>
    <x v="124"/>
    <x v="125"/>
    <n v="3.95E-2"/>
    <n v="4.1000000000000003E-3"/>
    <n v="8699473"/>
    <n v="7734230"/>
    <s v="220.1M"/>
    <n v="220100000"/>
    <n v="3.5139618355293049E-2"/>
    <n v="126"/>
    <x v="4"/>
  </r>
  <r>
    <x v="125"/>
    <x v="126"/>
    <n v="9.8699999999999996E-2"/>
    <n v="4.3E-3"/>
    <n v="8669853"/>
    <n v="229548"/>
    <s v="87.82M"/>
    <n v="87820000"/>
    <n v="2.6138465042131634E-3"/>
    <n v="127"/>
    <x v="4"/>
  </r>
  <r>
    <x v="126"/>
    <x v="127"/>
    <n v="0.29120000000000001"/>
    <n v="4.3E-3"/>
    <n v="8662826"/>
    <n v="65907"/>
    <s v="29.74M"/>
    <n v="29740000"/>
    <n v="2.2161062542030933E-3"/>
    <n v="128"/>
    <x v="4"/>
  </r>
  <r>
    <x v="127"/>
    <x v="128"/>
    <n v="3.4700000000000002E-2"/>
    <n v="1.5E-3"/>
    <n v="6977656"/>
    <n v="146941"/>
    <s v="201.12M"/>
    <n v="201120000"/>
    <n v="7.3061356404136837E-4"/>
    <n v="129"/>
    <x v="4"/>
  </r>
  <r>
    <x v="128"/>
    <x v="129"/>
    <n v="1.9300000000000001E-2"/>
    <n v="2.0000000000000001E-4"/>
    <n v="6955385"/>
    <n v="6780"/>
    <s v="359.59M"/>
    <n v="359590000"/>
    <n v="1.8854806863372173E-5"/>
    <n v="130"/>
    <x v="4"/>
  </r>
  <r>
    <x v="129"/>
    <x v="130"/>
    <n v="1.38"/>
    <n v="2.8500000000000001E-2"/>
    <n v="6916559"/>
    <n v="425962"/>
    <s v="4.99M"/>
    <n v="4990000"/>
    <n v="8.5363126252505014E-2"/>
    <n v="131"/>
    <x v="6"/>
  </r>
  <r>
    <x v="130"/>
    <x v="131"/>
    <n v="2.9999999999999997E-4"/>
    <n v="5.9999999999999995E-4"/>
    <n v="6910668"/>
    <n v="87808"/>
    <s v="23.06B"/>
    <n v="23060000000"/>
    <n v="3.8078057241977451E-6"/>
    <n v="132"/>
    <x v="4"/>
  </r>
  <r>
    <x v="131"/>
    <x v="132"/>
    <n v="1E-3"/>
    <n v="3.8E-3"/>
    <n v="6901123"/>
    <n v="187469"/>
    <s v="6.93B"/>
    <n v="6930000000"/>
    <n v="2.7051803751803753E-5"/>
    <n v="133"/>
    <x v="4"/>
  </r>
  <r>
    <x v="132"/>
    <x v="133"/>
    <n v="0.13519999999999999"/>
    <n v="1.8E-3"/>
    <n v="6897513"/>
    <n v="340331"/>
    <s v="50.99M"/>
    <n v="50990000"/>
    <n v="6.6744655814865656E-3"/>
    <n v="134"/>
    <x v="4"/>
  </r>
  <r>
    <x v="133"/>
    <x v="134"/>
    <n v="4.8999999999999998E-3"/>
    <n v="1.1999999999999999E-3"/>
    <n v="6894766"/>
    <n v="321408"/>
    <s v="1.4B"/>
    <n v="1400000000"/>
    <n v="2.2957714285714285E-4"/>
    <n v="135"/>
    <x v="4"/>
  </r>
  <r>
    <x v="134"/>
    <x v="135"/>
    <n v="6.0499999999999998E-2"/>
    <n v="1.5900000000000001E-2"/>
    <n v="5328756"/>
    <n v="4164781"/>
    <s v="88.03M"/>
    <n v="88030000"/>
    <n v="4.7310928092695673E-2"/>
    <n v="136"/>
    <x v="4"/>
  </r>
  <r>
    <x v="135"/>
    <x v="136"/>
    <n v="0.26100000000000001"/>
    <n v="1.1000000000000001E-3"/>
    <n v="5322203"/>
    <n v="3754649"/>
    <s v="20.38M"/>
    <n v="20380000"/>
    <n v="0.18423204121687931"/>
    <n v="137"/>
    <x v="4"/>
  </r>
  <r>
    <x v="136"/>
    <x v="137"/>
    <n v="5.8999999999999999E-3"/>
    <n v="1.1000000000000001E-3"/>
    <n v="5321075"/>
    <n v="59834"/>
    <s v="905.3M"/>
    <n v="905300000"/>
    <n v="6.6093007842704072E-5"/>
    <n v="138"/>
    <x v="4"/>
  </r>
  <r>
    <x v="137"/>
    <x v="138"/>
    <n v="1.12E-2"/>
    <n v="2.9399999999999999E-2"/>
    <n v="5289262"/>
    <n v="30255"/>
    <s v="471M"/>
    <n v="471000000"/>
    <n v="6.4235668789808917E-5"/>
    <n v="139"/>
    <x v="4"/>
  </r>
  <r>
    <x v="138"/>
    <x v="139"/>
    <n v="5.79E-2"/>
    <n v="8.9999999999999998E-4"/>
    <n v="5279826"/>
    <n v="1013267"/>
    <s v="91.22M"/>
    <n v="91220000"/>
    <n v="1.1107947818460863E-2"/>
    <n v="140"/>
    <x v="4"/>
  </r>
  <r>
    <x v="139"/>
    <x v="140"/>
    <n v="6.9500000000000006E-2"/>
    <n v="3.2000000000000002E-3"/>
    <n v="5273359"/>
    <n v="846710"/>
    <s v="75.91M"/>
    <n v="75910000"/>
    <n v="1.1154129890659992E-2"/>
    <n v="141"/>
    <x v="4"/>
  </r>
  <r>
    <x v="140"/>
    <x v="141"/>
    <n v="9.06"/>
    <n v="1.1900000000000001E-2"/>
    <n v="5254151"/>
    <n v="27503"/>
    <s v="579.84K"/>
    <n v="579840"/>
    <n v="4.7432050220750553E-2"/>
    <n v="142"/>
    <x v="2"/>
  </r>
  <r>
    <x v="141"/>
    <x v="142"/>
    <n v="0.30370000000000003"/>
    <n v="1.1900000000000001E-2"/>
    <n v="5249160"/>
    <n v="64548"/>
    <s v="17.27M"/>
    <n v="17270000"/>
    <n v="3.7375796178343947E-3"/>
    <n v="143"/>
    <x v="4"/>
  </r>
  <r>
    <x v="142"/>
    <x v="143"/>
    <n v="5.1999999999999998E-3"/>
    <n v="9.1000000000000004E-3"/>
    <n v="5236511"/>
    <n v="2582102"/>
    <s v="999.68M"/>
    <n v="999680000"/>
    <n v="2.5829285371318823E-3"/>
    <n v="144"/>
    <x v="4"/>
  </r>
  <r>
    <x v="143"/>
    <x v="144"/>
    <n v="2.4400000000000002E-2"/>
    <n v="2.9999999999999997E-4"/>
    <n v="5209385"/>
    <n v="289972"/>
    <s v="213.09M"/>
    <n v="213090000"/>
    <n v="1.3607959078323713E-3"/>
    <n v="145"/>
    <x v="4"/>
  </r>
  <r>
    <x v="144"/>
    <x v="145"/>
    <n v="8.4400000000000003E-2"/>
    <n v="1.3299999999999999E-2"/>
    <n v="4203318"/>
    <n v="369327"/>
    <s v="960.42T"/>
    <n v="960420000000000"/>
    <n v="3.8454738551883551E-10"/>
    <n v="146"/>
    <x v="4"/>
  </r>
  <r>
    <x v="145"/>
    <x v="146"/>
    <n v="6.9999999999999999E-4"/>
    <n v="3.6900000000000002E-2"/>
    <n v="4174785"/>
    <n v="10230683"/>
    <s v="6B"/>
    <n v="6000000000"/>
    <n v="1.7051138333333334E-3"/>
    <n v="147"/>
    <x v="4"/>
  </r>
  <r>
    <x v="146"/>
    <x v="147"/>
    <n v="2.76E-2"/>
    <n v="1E-3"/>
    <n v="4163952"/>
    <n v="96917"/>
    <s v="150.75M"/>
    <n v="150750000"/>
    <n v="6.4289883913764515E-4"/>
    <n v="148"/>
    <x v="4"/>
  </r>
  <r>
    <x v="147"/>
    <x v="148"/>
    <n v="3.8999999999999998E-3"/>
    <n v="2.2000000000000001E-3"/>
    <n v="4148747"/>
    <n v="8766"/>
    <s v="1.05B"/>
    <n v="1050000000"/>
    <n v="8.348571428571428E-6"/>
    <n v="149"/>
    <x v="4"/>
  </r>
  <r>
    <x v="148"/>
    <x v="149"/>
    <n v="0.20660000000000001"/>
    <n v="9.7999999999999997E-3"/>
    <n v="4140168"/>
    <n v="106213"/>
    <s v="20.03M"/>
    <n v="20030000"/>
    <n v="5.3026959560659014E-3"/>
    <n v="150"/>
    <x v="4"/>
  </r>
  <r>
    <x v="149"/>
    <x v="150"/>
    <n v="8.9999999999999998E-4"/>
    <n v="2.9999999999999997E-4"/>
    <n v="4138839"/>
    <n v="847"/>
    <s v="4.37B"/>
    <n v="4370000000"/>
    <n v="1.9382151029748284E-7"/>
    <n v="151"/>
    <x v="4"/>
  </r>
  <r>
    <x v="150"/>
    <x v="151"/>
    <n v="8.0000000000000004E-4"/>
    <n v="6.8999999999999999E-3"/>
    <n v="4130541"/>
    <n v="355240"/>
    <s v="5B"/>
    <n v="5000000000"/>
    <n v="7.1048000000000001E-5"/>
    <n v="152"/>
    <x v="4"/>
  </r>
  <r>
    <x v="151"/>
    <x v="152"/>
    <n v="0.16200000000000001"/>
    <n v="2.7000000000000001E-3"/>
    <n v="3346569"/>
    <n v="331094"/>
    <s v="20.64M"/>
    <n v="20640000"/>
    <n v="1.6041375968992248E-2"/>
    <n v="153"/>
    <x v="4"/>
  </r>
  <r>
    <x v="152"/>
    <x v="153"/>
    <n v="1.1999999999999999E-3"/>
    <n v="5.4000000000000003E-3"/>
    <n v="3339357"/>
    <n v="18420"/>
    <s v="2.69B"/>
    <n v="2690000000"/>
    <n v="6.847583643122677E-6"/>
    <n v="154"/>
    <x v="4"/>
  </r>
  <r>
    <x v="153"/>
    <x v="154"/>
    <n v="4.0000000000000002E-4"/>
    <n v="9.5999999999999992E-3"/>
    <n v="3333341"/>
    <n v="1613699"/>
    <s v="8.29B"/>
    <n v="8289999999.999999"/>
    <n v="1.9465609167671895E-4"/>
    <n v="155"/>
    <x v="4"/>
  </r>
  <r>
    <x v="154"/>
    <x v="155"/>
    <n v="5.3999999999999999E-2"/>
    <n v="1.6000000000000001E-3"/>
    <n v="3321989"/>
    <n v="875780"/>
    <s v="61.46M"/>
    <n v="61460000"/>
    <n v="1.4249593231369997E-2"/>
    <n v="156"/>
    <x v="4"/>
  </r>
  <r>
    <x v="155"/>
    <x v="156"/>
    <n v="1.32E-2"/>
    <n v="1.12E-2"/>
    <n v="3318891"/>
    <n v="2394175"/>
    <s v="251.34M"/>
    <n v="251340000"/>
    <n v="9.5256425559003734E-3"/>
    <n v="157"/>
    <x v="4"/>
  </r>
  <r>
    <x v="156"/>
    <x v="157"/>
    <n v="4.1999999999999997E-3"/>
    <n v="2.9999999999999997E-4"/>
    <n v="3316153"/>
    <n v="95553"/>
    <s v="787.4M"/>
    <n v="787400000"/>
    <n v="1.2135255270510541E-4"/>
    <n v="158"/>
    <x v="4"/>
  </r>
  <r>
    <x v="157"/>
    <x v="158"/>
    <n v="3.6499999999999998E-2"/>
    <n v="2.8999999999999998E-3"/>
    <n v="3296073"/>
    <n v="1991360"/>
    <s v="90.23M"/>
    <n v="90230000"/>
    <n v="2.2069821567106285E-2"/>
    <n v="159"/>
    <x v="4"/>
  </r>
  <r>
    <x v="158"/>
    <x v="159"/>
    <n v="2.9999999999999997E-4"/>
    <n v="0"/>
    <n v="3290369"/>
    <n v="19915"/>
    <s v="10B"/>
    <n v="10000000000"/>
    <n v="1.9914999999999999E-6"/>
    <n v="160"/>
    <x v="4"/>
  </r>
  <r>
    <x v="159"/>
    <x v="160"/>
    <n v="3.7000000000000002E-3"/>
    <n v="7.4000000000000003E-3"/>
    <n v="3283841"/>
    <n v="123380"/>
    <s v="888.88M"/>
    <n v="888880000"/>
    <n v="1.3880388803888039E-4"/>
    <n v="161"/>
    <x v="4"/>
  </r>
  <r>
    <x v="160"/>
    <x v="161"/>
    <n v="5.0000000000000001E-3"/>
    <n v="1.6999999999999999E-3"/>
    <n v="2780822"/>
    <n v="492884"/>
    <s v="553.85M"/>
    <n v="553850000"/>
    <n v="8.8992326442177488E-4"/>
    <n v="162"/>
    <x v="4"/>
  </r>
  <r>
    <x v="161"/>
    <x v="162"/>
    <n v="3.5000000000000001E-3"/>
    <n v="3.2000000000000002E-3"/>
    <n v="2775444"/>
    <n v="78498"/>
    <s v="787M"/>
    <n v="787000000"/>
    <n v="9.9743329097839892E-5"/>
    <n v="163"/>
    <x v="4"/>
  </r>
  <r>
    <x v="162"/>
    <x v="163"/>
    <n v="5.7000000000000002E-3"/>
    <n v="4.1000000000000003E-3"/>
    <n v="2752249"/>
    <n v="248901"/>
    <s v="483.88M"/>
    <n v="483880000"/>
    <n v="5.1438579813176816E-4"/>
    <n v="164"/>
    <x v="4"/>
  </r>
  <r>
    <x v="163"/>
    <x v="164"/>
    <n v="2.63"/>
    <n v="1.66E-2"/>
    <n v="2740226"/>
    <n v="650212"/>
    <s v="1.04M"/>
    <n v="1040000"/>
    <n v="0.62520384615384617"/>
    <n v="165"/>
    <x v="2"/>
  </r>
  <r>
    <x v="164"/>
    <x v="165"/>
    <n v="7.22E-2"/>
    <n v="7.1999999999999998E-3"/>
    <n v="2725328"/>
    <n v="225992"/>
    <s v="37.72M"/>
    <n v="37720000"/>
    <n v="5.9913043478260868E-3"/>
    <n v="166"/>
    <x v="4"/>
  </r>
  <r>
    <x v="165"/>
    <x v="166"/>
    <n v="2.7000000000000001E-3"/>
    <n v="3.3E-3"/>
    <n v="2721575"/>
    <n v="9317"/>
    <s v="993.5M"/>
    <n v="993500000"/>
    <n v="9.377956718671364E-6"/>
    <n v="167"/>
    <x v="4"/>
  </r>
  <r>
    <x v="166"/>
    <x v="167"/>
    <n v="0.33800000000000002"/>
    <n v="1.6199999999999999E-2"/>
    <n v="2718841"/>
    <n v="93501"/>
    <s v="8.04M"/>
    <n v="8039999.9999999991"/>
    <n v="1.16294776119403E-2"/>
    <n v="168"/>
    <x v="4"/>
  </r>
  <r>
    <x v="167"/>
    <x v="168"/>
    <n v="8.8499999999999995E-2"/>
    <n v="8.9999999999999998E-4"/>
    <n v="2717949"/>
    <n v="86410"/>
    <s v="320.72T"/>
    <n v="320720000000000"/>
    <n v="2.6942504365178351E-10"/>
    <n v="169"/>
    <x v="4"/>
  </r>
  <r>
    <x v="168"/>
    <x v="169"/>
    <n v="1.7899999999999999E-2"/>
    <n v="6.4000000000000003E-3"/>
    <n v="2715332"/>
    <n v="475091"/>
    <s v="151.66M"/>
    <n v="151660000"/>
    <n v="3.1326058288276407E-3"/>
    <n v="170"/>
    <x v="4"/>
  </r>
  <r>
    <x v="169"/>
    <x v="170"/>
    <n v="5.5399999999999998E-2"/>
    <n v="1.4E-3"/>
    <n v="2203902"/>
    <n v="537558"/>
    <s v="409.5B"/>
    <n v="409500000000"/>
    <n v="1.3127179487179488E-6"/>
    <n v="171"/>
    <x v="4"/>
  </r>
  <r>
    <x v="170"/>
    <x v="171"/>
    <n v="3.1099999999999999E-2"/>
    <n v="1.2999999999999999E-3"/>
    <n v="2196829"/>
    <n v="181224"/>
    <s v="70.59M"/>
    <n v="70590000"/>
    <n v="2.5672758181045476E-3"/>
    <n v="172"/>
    <x v="4"/>
  </r>
  <r>
    <x v="171"/>
    <x v="172"/>
    <n v="5.7000000000000002E-3"/>
    <n v="2.3E-3"/>
    <n v="2192711"/>
    <n v="55232"/>
    <s v="382.95M"/>
    <n v="382950000"/>
    <n v="1.4422770596683639E-4"/>
    <n v="174"/>
    <x v="4"/>
  </r>
  <r>
    <x v="172"/>
    <x v="173"/>
    <n v="5.2200000000000003E-2"/>
    <n v="3.3E-3"/>
    <n v="2193844"/>
    <n v="238266"/>
    <s v="1T"/>
    <n v="1000000000000"/>
    <n v="2.38266E-7"/>
    <n v="173"/>
    <x v="4"/>
  </r>
  <r>
    <x v="173"/>
    <x v="174"/>
    <n v="0.30230000000000001"/>
    <n v="4.1000000000000003E-3"/>
    <n v="2187874"/>
    <n v="49762"/>
    <s v="7.23M"/>
    <n v="7230000"/>
    <n v="6.8827109266943291E-3"/>
    <n v="176"/>
    <x v="4"/>
  </r>
  <r>
    <x v="174"/>
    <x v="175"/>
    <n v="3.7999999999999999E-2"/>
    <n v="1.1000000000000001E-3"/>
    <n v="2179537"/>
    <n v="1268"/>
    <s v="57.34M"/>
    <n v="57340000"/>
    <n v="2.2113707708406001E-5"/>
    <n v="177"/>
    <x v="4"/>
  </r>
  <r>
    <x v="175"/>
    <x v="176"/>
    <n v="8.3599999999999994E-2"/>
    <n v="1.0500000000000001E-2"/>
    <n v="2178852"/>
    <n v="3030"/>
    <s v="599.88T"/>
    <n v="599880000000000"/>
    <n v="5.0510102020404078E-12"/>
    <n v="178"/>
    <x v="4"/>
  </r>
  <r>
    <x v="176"/>
    <x v="177"/>
    <n v="3.3E-3"/>
    <n v="1.83E-2"/>
    <n v="2188825"/>
    <n v="69711"/>
    <s v="671.09M"/>
    <n v="671090000"/>
    <n v="1.0387727428511824E-4"/>
    <n v="175"/>
    <x v="4"/>
  </r>
  <r>
    <x v="177"/>
    <x v="178"/>
    <n v="2.0400000000000001E-2"/>
    <n v="2.9999999999999997E-4"/>
    <n v="1756805"/>
    <n v="90761"/>
    <s v="86.06M"/>
    <n v="86060000"/>
    <n v="1.0546246804554961E-3"/>
    <n v="179"/>
    <x v="4"/>
  </r>
  <r>
    <x v="178"/>
    <x v="179"/>
    <n v="1.8E-3"/>
    <n v="4.2700000000000002E-2"/>
    <n v="1755788"/>
    <n v="403029"/>
    <s v="999.99M"/>
    <n v="999990000"/>
    <n v="4.0303303033030328E-4"/>
    <n v="180"/>
    <x v="4"/>
  </r>
  <r>
    <x v="179"/>
    <x v="180"/>
    <n v="3.3799999999999997E-2"/>
    <n v="7.4000000000000003E-3"/>
    <n v="1754868"/>
    <n v="637"/>
    <s v="51.98M"/>
    <n v="51980000"/>
    <n v="1.2254713351288958E-5"/>
    <n v="181"/>
    <x v="4"/>
  </r>
  <r>
    <x v="180"/>
    <x v="181"/>
    <n v="1.5900000000000001E-2"/>
    <n v="1.4E-3"/>
    <n v="1752254"/>
    <n v="73794"/>
    <s v="110.37M"/>
    <n v="110370000"/>
    <n v="6.6860559934764884E-4"/>
    <n v="182"/>
    <x v="4"/>
  </r>
  <r>
    <x v="181"/>
    <x v="182"/>
    <n v="6.6E-3"/>
    <n v="1.2999999999999999E-3"/>
    <n v="1747236"/>
    <n v="99738"/>
    <s v="266.69M"/>
    <n v="266690000"/>
    <n v="3.7398477633207095E-4"/>
    <n v="183"/>
    <x v="4"/>
  </r>
  <r>
    <x v="182"/>
    <x v="183"/>
    <n v="1.1000000000000001E-3"/>
    <n v="5.7999999999999996E-3"/>
    <n v="1745226"/>
    <n v="57798"/>
    <s v="1.6B"/>
    <n v="1600000000"/>
    <n v="3.6123749999999998E-5"/>
    <n v="184"/>
    <x v="4"/>
  </r>
  <r>
    <x v="183"/>
    <x v="184"/>
    <n v="1E-4"/>
    <n v="2.0000000000000001E-4"/>
    <n v="1739324"/>
    <n v="28022"/>
    <s v="29.7B"/>
    <n v="29700000000"/>
    <n v="9.4350168350168355E-7"/>
    <n v="185"/>
    <x v="4"/>
  </r>
  <r>
    <x v="184"/>
    <x v="185"/>
    <n v="7.3000000000000001E-3"/>
    <n v="0"/>
    <n v="1738739"/>
    <n v="52"/>
    <s v="239.74M"/>
    <n v="239740000"/>
    <n v="2.1690164344706766E-7"/>
    <n v="186"/>
    <x v="4"/>
  </r>
  <r>
    <x v="185"/>
    <x v="186"/>
    <n v="1.9E-3"/>
    <n v="2.5999999999999999E-3"/>
    <n v="1736200"/>
    <n v="105335"/>
    <s v="927.74M"/>
    <n v="927740000"/>
    <n v="1.1353935369823442E-4"/>
    <n v="187"/>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A0942B-CC52-4A3A-96FB-BD9AF270EE09}" name="PivotTable10"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in Name">
  <location ref="Q62:R82" firstHeaderRow="1" firstDataRow="1" firstDataCol="1"/>
  <pivotFields count="11">
    <pivotField axis="axisRow" showAll="0" measureFilter="1" sortType="descending">
      <items count="187">
        <item x="87"/>
        <item x="138"/>
        <item x="29"/>
        <item x="11"/>
        <item x="32"/>
        <item x="2"/>
        <item x="77"/>
        <item x="145"/>
        <item x="71"/>
        <item x="174"/>
        <item x="30"/>
        <item x="135"/>
        <item x="18"/>
        <item x="66"/>
        <item x="103"/>
        <item x="26"/>
        <item x="134"/>
        <item x="39"/>
        <item x="25"/>
        <item x="6"/>
        <item x="143"/>
        <item x="183"/>
        <item x="123"/>
        <item x="8"/>
        <item x="144"/>
        <item x="54"/>
        <item x="42"/>
        <item x="172"/>
        <item x="3"/>
        <item x="114"/>
        <item x="124"/>
        <item x="60"/>
        <item x="102"/>
        <item x="113"/>
        <item x="125"/>
        <item x="140"/>
        <item x="119"/>
        <item x="37"/>
        <item x="139"/>
        <item x="120"/>
        <item x="117"/>
        <item x="49"/>
        <item x="166"/>
        <item sd="0" x="5"/>
        <item x="95"/>
        <item x="112"/>
        <item x="175"/>
        <item x="130"/>
        <item x="72"/>
        <item x="10"/>
        <item x="99"/>
        <item x="64"/>
        <item x="153"/>
        <item x="57"/>
        <item x="59"/>
        <item x="181"/>
        <item x="13"/>
        <item x="157"/>
        <item x="109"/>
        <item x="101"/>
        <item x="115"/>
        <item x="147"/>
        <item x="149"/>
        <item x="33"/>
        <item x="55"/>
        <item x="177"/>
        <item x="78"/>
        <item x="65"/>
        <item x="126"/>
        <item x="158"/>
        <item x="128"/>
        <item x="159"/>
        <item x="129"/>
        <item x="132"/>
        <item x="62"/>
        <item x="142"/>
        <item x="24"/>
        <item x="90"/>
        <item x="97"/>
        <item x="169"/>
        <item x="179"/>
        <item x="148"/>
        <item x="151"/>
        <item x="85"/>
        <item x="67"/>
        <item x="68"/>
        <item x="50"/>
        <item x="69"/>
        <item x="173"/>
        <item x="170"/>
        <item x="92"/>
        <item x="163"/>
        <item x="23"/>
        <item x="137"/>
        <item x="121"/>
        <item x="152"/>
        <item x="82"/>
        <item x="21"/>
        <item x="100"/>
        <item x="156"/>
        <item x="185"/>
        <item x="107"/>
        <item x="104"/>
        <item x="178"/>
        <item x="161"/>
        <item x="98"/>
        <item x="47"/>
        <item x="28"/>
        <item x="91"/>
        <item x="160"/>
        <item x="58"/>
        <item x="73"/>
        <item x="150"/>
        <item x="106"/>
        <item x="127"/>
        <item x="15"/>
        <item x="20"/>
        <item x="133"/>
        <item x="22"/>
        <item x="76"/>
        <item x="176"/>
        <item x="93"/>
        <item x="184"/>
        <item x="1"/>
        <item x="141"/>
        <item x="38"/>
        <item x="31"/>
        <item x="79"/>
        <item x="7"/>
        <item x="16"/>
        <item x="40"/>
        <item x="162"/>
        <item x="19"/>
        <item x="61"/>
        <item x="171"/>
        <item x="154"/>
        <item x="88"/>
        <item x="84"/>
        <item x="118"/>
        <item x="48"/>
        <item x="81"/>
        <item x="131"/>
        <item x="164"/>
        <item x="51"/>
        <item x="182"/>
        <item x="9"/>
        <item x="94"/>
        <item x="17"/>
        <item x="80"/>
        <item x="56"/>
        <item x="155"/>
        <item x="4"/>
        <item x="14"/>
        <item x="0"/>
        <item x="108"/>
        <item x="43"/>
        <item x="111"/>
        <item x="27"/>
        <item x="146"/>
        <item x="110"/>
        <item x="36"/>
        <item x="167"/>
        <item x="122"/>
        <item x="53"/>
        <item x="63"/>
        <item x="35"/>
        <item x="45"/>
        <item x="75"/>
        <item x="46"/>
        <item x="44"/>
        <item x="52"/>
        <item x="41"/>
        <item x="74"/>
        <item x="89"/>
        <item x="105"/>
        <item x="168"/>
        <item x="83"/>
        <item x="34"/>
        <item x="116"/>
        <item x="165"/>
        <item x="96"/>
        <item x="86"/>
        <item x="180"/>
        <item x="70"/>
        <item x="136"/>
        <item x="12"/>
        <item t="default"/>
      </items>
      <autoSortScope>
        <pivotArea dataOnly="0" outline="0" fieldPosition="0">
          <references count="1">
            <reference field="4294967294" count="1" selected="0">
              <x v="0"/>
            </reference>
          </references>
        </pivotArea>
      </autoSortScope>
    </pivotField>
    <pivotField axis="axisRow" showAll="0">
      <items count="188">
        <item x="12"/>
        <item x="137"/>
        <item x="71"/>
        <item x="9"/>
        <item x="181"/>
        <item x="84"/>
        <item x="87"/>
        <item x="97"/>
        <item x="91"/>
        <item x="166"/>
        <item x="117"/>
        <item x="52"/>
        <item x="34"/>
        <item x="169"/>
        <item x="106"/>
        <item x="75"/>
        <item x="41"/>
        <item x="44"/>
        <item x="46"/>
        <item x="76"/>
        <item x="56"/>
        <item x="45"/>
        <item x="35"/>
        <item x="17"/>
        <item x="53"/>
        <item x="36"/>
        <item x="168"/>
        <item x="48"/>
        <item x="111"/>
        <item x="27"/>
        <item x="147"/>
        <item x="112"/>
        <item x="85"/>
        <item x="43"/>
        <item x="4"/>
        <item x="81"/>
        <item x="156"/>
        <item x="109"/>
        <item x="0"/>
        <item x="14"/>
        <item x="95"/>
        <item x="123"/>
        <item x="183"/>
        <item x="165"/>
        <item x="51"/>
        <item x="132"/>
        <item x="167"/>
        <item x="175"/>
        <item x="82"/>
        <item x="172"/>
        <item x="89"/>
        <item x="61"/>
        <item x="139"/>
        <item x="163"/>
        <item x="31"/>
        <item x="16"/>
        <item x="185"/>
        <item x="7"/>
        <item x="40"/>
        <item x="38"/>
        <item x="142"/>
        <item x="1"/>
        <item x="80"/>
        <item x="94"/>
        <item x="77"/>
        <item x="134"/>
        <item x="15"/>
        <item x="128"/>
        <item x="151"/>
        <item x="20"/>
        <item x="74"/>
        <item x="161"/>
        <item x="92"/>
        <item x="58"/>
        <item x="47"/>
        <item x="143"/>
        <item x="99"/>
        <item x="162"/>
        <item x="179"/>
        <item x="105"/>
        <item x="108"/>
        <item x="186"/>
        <item x="157"/>
        <item x="184"/>
        <item x="21"/>
        <item x="101"/>
        <item x="83"/>
        <item x="79"/>
        <item x="153"/>
        <item x="138"/>
        <item x="23"/>
        <item x="122"/>
        <item x="42"/>
        <item x="164"/>
        <item x="19"/>
        <item x="171"/>
        <item x="67"/>
        <item x="70"/>
        <item x="68"/>
        <item x="93"/>
        <item x="86"/>
        <item x="129"/>
        <item x="174"/>
        <item x="152"/>
        <item x="50"/>
        <item x="149"/>
        <item x="173"/>
        <item x="170"/>
        <item x="98"/>
        <item x="62"/>
        <item x="63"/>
        <item x="90"/>
        <item x="133"/>
        <item x="131"/>
        <item x="130"/>
        <item x="160"/>
        <item x="159"/>
        <item x="65"/>
        <item x="178"/>
        <item x="33"/>
        <item x="127"/>
        <item x="116"/>
        <item x="102"/>
        <item x="110"/>
        <item x="158"/>
        <item x="66"/>
        <item x="13"/>
        <item x="150"/>
        <item x="182"/>
        <item x="176"/>
        <item x="59"/>
        <item x="154"/>
        <item x="64"/>
        <item x="10"/>
        <item x="73"/>
        <item x="100"/>
        <item x="120"/>
        <item x="113"/>
        <item x="96"/>
        <item x="37"/>
        <item x="5"/>
        <item x="49"/>
        <item x="144"/>
        <item x="121"/>
        <item x="140"/>
        <item x="141"/>
        <item x="126"/>
        <item x="114"/>
        <item x="103"/>
        <item x="124"/>
        <item x="125"/>
        <item x="115"/>
        <item x="54"/>
        <item x="145"/>
        <item x="8"/>
        <item x="25"/>
        <item x="6"/>
        <item x="22"/>
        <item x="28"/>
        <item x="118"/>
        <item x="3"/>
        <item x="24"/>
        <item x="39"/>
        <item x="135"/>
        <item x="104"/>
        <item x="26"/>
        <item x="18"/>
        <item x="136"/>
        <item x="148"/>
        <item x="30"/>
        <item x="119"/>
        <item x="155"/>
        <item x="72"/>
        <item x="146"/>
        <item x="78"/>
        <item x="57"/>
        <item x="2"/>
        <item x="180"/>
        <item x="60"/>
        <item x="177"/>
        <item x="107"/>
        <item x="69"/>
        <item x="32"/>
        <item x="29"/>
        <item x="11"/>
        <item x="55"/>
        <item x="88"/>
        <item t="default"/>
      </items>
    </pivotField>
    <pivotField dataField="1" showAll="0"/>
    <pivotField showAll="0"/>
    <pivotField showAll="0"/>
    <pivotField showAll="0"/>
    <pivotField showAll="0"/>
    <pivotField showAll="0"/>
    <pivotField showAll="0"/>
    <pivotField showAll="0"/>
    <pivotField showAll="0">
      <items count="8">
        <item x="3"/>
        <item x="4"/>
        <item x="0"/>
        <item x="1"/>
        <item x="5"/>
        <item x="6"/>
        <item x="2"/>
        <item t="default"/>
      </items>
    </pivotField>
  </pivotFields>
  <rowFields count="2">
    <field x="0"/>
    <field x="1"/>
  </rowFields>
  <rowItems count="20">
    <i>
      <x v="153"/>
    </i>
    <i r="1">
      <x v="38"/>
    </i>
    <i>
      <x v="123"/>
    </i>
    <i r="1">
      <x v="61"/>
    </i>
    <i>
      <x v="151"/>
    </i>
    <i r="1">
      <x v="34"/>
    </i>
    <i>
      <x v="43"/>
    </i>
    <i>
      <x v="3"/>
    </i>
    <i r="1">
      <x v="184"/>
    </i>
    <i>
      <x v="180"/>
    </i>
    <i r="1">
      <x v="7"/>
    </i>
    <i>
      <x v="25"/>
    </i>
    <i r="1">
      <x v="152"/>
    </i>
    <i>
      <x v="149"/>
    </i>
    <i r="1">
      <x v="20"/>
    </i>
    <i>
      <x v="35"/>
    </i>
    <i r="1">
      <x v="145"/>
    </i>
    <i>
      <x v="129"/>
    </i>
    <i r="1">
      <x v="55"/>
    </i>
    <i t="grand">
      <x/>
    </i>
  </rowItems>
  <colItems count="1">
    <i/>
  </colItems>
  <dataFields count="1">
    <dataField name="Sum of Price (USD)" fld="2" baseField="0" baseItem="0"/>
  </dataField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0BE92-609D-4E81-BAC7-1B6A2CEE0DD5}" name="PivotTable9"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in Name">
  <location ref="U34:U35" firstHeaderRow="1" firstDataRow="1" firstDataCol="0"/>
  <pivotFields count="11">
    <pivotField showAll="0">
      <items count="187">
        <item x="12"/>
        <item x="136"/>
        <item x="70"/>
        <item x="180"/>
        <item x="86"/>
        <item x="96"/>
        <item x="165"/>
        <item x="116"/>
        <item x="34"/>
        <item x="83"/>
        <item x="168"/>
        <item x="105"/>
        <item x="89"/>
        <item x="74"/>
        <item x="41"/>
        <item x="52"/>
        <item x="44"/>
        <item x="46"/>
        <item x="75"/>
        <item x="45"/>
        <item x="35"/>
        <item x="63"/>
        <item x="53"/>
        <item x="122"/>
        <item x="167"/>
        <item x="36"/>
        <item x="110"/>
        <item x="146"/>
        <item x="27"/>
        <item x="111"/>
        <item x="43"/>
        <item x="108"/>
        <item x="0"/>
        <item x="14"/>
        <item x="4"/>
        <item x="155"/>
        <item x="56"/>
        <item x="80"/>
        <item x="17"/>
        <item x="94"/>
        <item x="9"/>
        <item x="182"/>
        <item x="51"/>
        <item x="164"/>
        <item x="131"/>
        <item x="81"/>
        <item x="48"/>
        <item x="118"/>
        <item x="84"/>
        <item x="88"/>
        <item x="154"/>
        <item x="171"/>
        <item x="61"/>
        <item x="19"/>
        <item x="162"/>
        <item x="40"/>
        <item x="16"/>
        <item x="7"/>
        <item x="79"/>
        <item x="31"/>
        <item x="38"/>
        <item x="141"/>
        <item x="1"/>
        <item x="184"/>
        <item x="93"/>
        <item x="176"/>
        <item x="76"/>
        <item x="22"/>
        <item x="133"/>
        <item x="20"/>
        <item x="15"/>
        <item x="127"/>
        <item x="106"/>
        <item x="150"/>
        <item x="73"/>
        <item x="58"/>
        <item x="160"/>
        <item x="91"/>
        <item x="28"/>
        <item x="47"/>
        <item x="98"/>
        <item x="161"/>
        <item x="178"/>
        <item x="104"/>
        <item x="107"/>
        <item x="185"/>
        <item x="156"/>
        <item x="100"/>
        <item x="21"/>
        <item x="82"/>
        <item x="152"/>
        <item x="121"/>
        <item x="137"/>
        <item x="23"/>
        <item x="163"/>
        <item x="92"/>
        <item x="170"/>
        <item x="173"/>
        <item x="69"/>
        <item x="50"/>
        <item x="68"/>
        <item x="67"/>
        <item x="85"/>
        <item x="151"/>
        <item x="148"/>
        <item x="179"/>
        <item x="169"/>
        <item x="97"/>
        <item x="90"/>
        <item x="24"/>
        <item x="142"/>
        <item x="62"/>
        <item x="132"/>
        <item x="129"/>
        <item x="159"/>
        <item x="128"/>
        <item x="158"/>
        <item x="126"/>
        <item x="65"/>
        <item x="78"/>
        <item x="177"/>
        <item x="55"/>
        <item x="33"/>
        <item x="149"/>
        <item x="147"/>
        <item x="115"/>
        <item x="101"/>
        <item x="109"/>
        <item x="157"/>
        <item x="13"/>
        <item x="181"/>
        <item x="59"/>
        <item x="57"/>
        <item x="153"/>
        <item x="64"/>
        <item x="99"/>
        <item x="10"/>
        <item x="72"/>
        <item x="130"/>
        <item x="175"/>
        <item x="112"/>
        <item x="95"/>
        <item x="5"/>
        <item x="166"/>
        <item x="49"/>
        <item x="117"/>
        <item x="120"/>
        <item x="139"/>
        <item x="37"/>
        <item x="119"/>
        <item x="140"/>
        <item x="125"/>
        <item x="113"/>
        <item x="102"/>
        <item x="60"/>
        <item x="124"/>
        <item x="114"/>
        <item x="3"/>
        <item x="172"/>
        <item x="42"/>
        <item x="54"/>
        <item x="144"/>
        <item x="8"/>
        <item x="123"/>
        <item x="183"/>
        <item x="143"/>
        <item x="6"/>
        <item x="25"/>
        <item x="39"/>
        <item x="134"/>
        <item x="26"/>
        <item x="103"/>
        <item x="66"/>
        <item x="18"/>
        <item x="135"/>
        <item x="30"/>
        <item x="174"/>
        <item x="71"/>
        <item x="145"/>
        <item x="77"/>
        <item x="2"/>
        <item x="32"/>
        <item x="11"/>
        <item x="29"/>
        <item x="138"/>
        <item x="87"/>
        <item t="default"/>
      </items>
    </pivotField>
    <pivotField showAll="0"/>
    <pivotField showAll="0"/>
    <pivotField showAll="0"/>
    <pivotField showAll="0"/>
    <pivotField showAll="0"/>
    <pivotField showAll="0"/>
    <pivotField dataField="1" showAll="0"/>
    <pivotField showAll="0"/>
    <pivotField showAll="0"/>
    <pivotField showAll="0">
      <items count="8">
        <item x="3"/>
        <item x="4"/>
        <item x="0"/>
        <item x="1"/>
        <item x="5"/>
        <item x="6"/>
        <item x="2"/>
        <item t="default"/>
      </items>
    </pivotField>
  </pivotFields>
  <rowItems count="1">
    <i/>
  </rowItems>
  <colItems count="1">
    <i/>
  </colItems>
  <dataFields count="1">
    <dataField name="Sum of Circulating_Suppl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76560F-5701-4B8F-A1DC-2BADD83673A4}" name="PivotTable8"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in Name">
  <location ref="U31:U32" firstHeaderRow="1" firstDataRow="1" firstDataCol="0"/>
  <pivotFields count="11">
    <pivotField showAll="0">
      <items count="187">
        <item x="12"/>
        <item x="136"/>
        <item x="70"/>
        <item x="180"/>
        <item x="86"/>
        <item x="96"/>
        <item x="165"/>
        <item x="116"/>
        <item x="34"/>
        <item x="83"/>
        <item x="168"/>
        <item x="105"/>
        <item x="89"/>
        <item x="74"/>
        <item x="41"/>
        <item x="52"/>
        <item x="44"/>
        <item x="46"/>
        <item x="75"/>
        <item x="45"/>
        <item x="35"/>
        <item x="63"/>
        <item x="53"/>
        <item x="122"/>
        <item x="167"/>
        <item x="36"/>
        <item x="110"/>
        <item x="146"/>
        <item x="27"/>
        <item x="111"/>
        <item x="43"/>
        <item x="108"/>
        <item x="0"/>
        <item x="14"/>
        <item x="4"/>
        <item x="155"/>
        <item x="56"/>
        <item x="80"/>
        <item x="17"/>
        <item x="94"/>
        <item x="9"/>
        <item x="182"/>
        <item x="51"/>
        <item x="164"/>
        <item x="131"/>
        <item x="81"/>
        <item x="48"/>
        <item x="118"/>
        <item x="84"/>
        <item x="88"/>
        <item x="154"/>
        <item x="171"/>
        <item x="61"/>
        <item x="19"/>
        <item x="162"/>
        <item x="40"/>
        <item x="16"/>
        <item x="7"/>
        <item x="79"/>
        <item x="31"/>
        <item x="38"/>
        <item x="141"/>
        <item x="1"/>
        <item x="184"/>
        <item x="93"/>
        <item x="176"/>
        <item x="76"/>
        <item x="22"/>
        <item x="133"/>
        <item x="20"/>
        <item x="15"/>
        <item x="127"/>
        <item x="106"/>
        <item x="150"/>
        <item x="73"/>
        <item x="58"/>
        <item x="160"/>
        <item x="91"/>
        <item x="28"/>
        <item x="47"/>
        <item x="98"/>
        <item x="161"/>
        <item x="178"/>
        <item x="104"/>
        <item x="107"/>
        <item x="185"/>
        <item x="156"/>
        <item x="100"/>
        <item x="21"/>
        <item x="82"/>
        <item x="152"/>
        <item x="121"/>
        <item x="137"/>
        <item x="23"/>
        <item x="163"/>
        <item x="92"/>
        <item x="170"/>
        <item x="173"/>
        <item x="69"/>
        <item x="50"/>
        <item x="68"/>
        <item x="67"/>
        <item x="85"/>
        <item x="151"/>
        <item x="148"/>
        <item x="179"/>
        <item x="169"/>
        <item x="97"/>
        <item x="90"/>
        <item x="24"/>
        <item x="142"/>
        <item x="62"/>
        <item x="132"/>
        <item x="129"/>
        <item x="159"/>
        <item x="128"/>
        <item x="158"/>
        <item x="126"/>
        <item x="65"/>
        <item x="78"/>
        <item x="177"/>
        <item x="55"/>
        <item x="33"/>
        <item x="149"/>
        <item x="147"/>
        <item x="115"/>
        <item x="101"/>
        <item x="109"/>
        <item x="157"/>
        <item x="13"/>
        <item x="181"/>
        <item x="59"/>
        <item x="57"/>
        <item x="153"/>
        <item x="64"/>
        <item x="99"/>
        <item x="10"/>
        <item x="72"/>
        <item x="130"/>
        <item x="175"/>
        <item x="112"/>
        <item x="95"/>
        <item x="5"/>
        <item x="166"/>
        <item x="49"/>
        <item x="117"/>
        <item x="120"/>
        <item x="139"/>
        <item x="37"/>
        <item x="119"/>
        <item x="140"/>
        <item x="125"/>
        <item x="113"/>
        <item x="102"/>
        <item x="60"/>
        <item x="124"/>
        <item x="114"/>
        <item x="3"/>
        <item x="172"/>
        <item x="42"/>
        <item x="54"/>
        <item x="144"/>
        <item x="8"/>
        <item x="123"/>
        <item x="183"/>
        <item x="143"/>
        <item x="6"/>
        <item x="25"/>
        <item x="39"/>
        <item x="134"/>
        <item x="26"/>
        <item x="103"/>
        <item x="66"/>
        <item x="18"/>
        <item x="135"/>
        <item x="30"/>
        <item x="174"/>
        <item x="71"/>
        <item x="145"/>
        <item x="77"/>
        <item x="2"/>
        <item x="32"/>
        <item x="11"/>
        <item x="29"/>
        <item x="138"/>
        <item x="87"/>
        <item t="default"/>
      </items>
    </pivotField>
    <pivotField showAll="0"/>
    <pivotField dataField="1" showAll="0"/>
    <pivotField showAll="0"/>
    <pivotField showAll="0"/>
    <pivotField showAll="0"/>
    <pivotField showAll="0"/>
    <pivotField showAll="0"/>
    <pivotField showAll="0"/>
    <pivotField showAll="0"/>
    <pivotField showAll="0">
      <items count="8">
        <item x="3"/>
        <item x="4"/>
        <item x="0"/>
        <item x="1"/>
        <item x="5"/>
        <item x="6"/>
        <item x="2"/>
        <item t="default"/>
      </items>
    </pivotField>
  </pivotFields>
  <rowItems count="1">
    <i/>
  </rowItems>
  <colItems count="1">
    <i/>
  </colItems>
  <dataFields count="1">
    <dataField name="Sum of Price (US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426377-4923-49D4-BC65-FF318911C2A0}" name="PivotTable7"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in Name">
  <location ref="U28:U29" firstHeaderRow="1" firstDataRow="1" firstDataCol="0"/>
  <pivotFields count="11">
    <pivotField showAll="0" sortType="descending">
      <items count="187">
        <item x="12"/>
        <item x="136"/>
        <item x="70"/>
        <item x="180"/>
        <item x="86"/>
        <item x="96"/>
        <item x="165"/>
        <item x="116"/>
        <item x="34"/>
        <item x="83"/>
        <item x="168"/>
        <item x="105"/>
        <item x="89"/>
        <item x="74"/>
        <item x="41"/>
        <item x="52"/>
        <item x="44"/>
        <item x="46"/>
        <item x="75"/>
        <item x="45"/>
        <item x="35"/>
        <item x="63"/>
        <item x="53"/>
        <item x="122"/>
        <item x="167"/>
        <item x="36"/>
        <item x="110"/>
        <item x="146"/>
        <item x="27"/>
        <item x="111"/>
        <item x="43"/>
        <item x="108"/>
        <item x="0"/>
        <item x="14"/>
        <item x="4"/>
        <item x="155"/>
        <item x="56"/>
        <item x="80"/>
        <item x="17"/>
        <item x="94"/>
        <item x="9"/>
        <item x="182"/>
        <item x="51"/>
        <item x="164"/>
        <item x="131"/>
        <item x="81"/>
        <item x="48"/>
        <item x="118"/>
        <item x="84"/>
        <item x="88"/>
        <item x="154"/>
        <item x="171"/>
        <item x="61"/>
        <item x="19"/>
        <item x="162"/>
        <item x="40"/>
        <item x="16"/>
        <item x="7"/>
        <item x="79"/>
        <item x="31"/>
        <item x="38"/>
        <item x="141"/>
        <item x="1"/>
        <item x="184"/>
        <item x="93"/>
        <item x="176"/>
        <item x="76"/>
        <item x="22"/>
        <item x="133"/>
        <item x="20"/>
        <item x="15"/>
        <item x="127"/>
        <item x="106"/>
        <item x="150"/>
        <item x="73"/>
        <item x="58"/>
        <item x="160"/>
        <item x="91"/>
        <item x="28"/>
        <item x="47"/>
        <item x="98"/>
        <item x="161"/>
        <item x="178"/>
        <item x="104"/>
        <item x="107"/>
        <item x="185"/>
        <item x="156"/>
        <item x="100"/>
        <item x="21"/>
        <item x="82"/>
        <item x="152"/>
        <item x="121"/>
        <item x="137"/>
        <item x="23"/>
        <item x="163"/>
        <item x="92"/>
        <item x="170"/>
        <item x="173"/>
        <item x="69"/>
        <item x="50"/>
        <item x="68"/>
        <item x="67"/>
        <item x="85"/>
        <item x="151"/>
        <item x="148"/>
        <item x="179"/>
        <item x="169"/>
        <item x="97"/>
        <item x="90"/>
        <item x="24"/>
        <item x="142"/>
        <item x="62"/>
        <item x="132"/>
        <item x="129"/>
        <item x="159"/>
        <item x="128"/>
        <item x="158"/>
        <item x="126"/>
        <item x="65"/>
        <item x="78"/>
        <item x="177"/>
        <item x="55"/>
        <item x="33"/>
        <item x="149"/>
        <item x="147"/>
        <item x="115"/>
        <item x="101"/>
        <item x="109"/>
        <item x="157"/>
        <item x="13"/>
        <item x="181"/>
        <item x="59"/>
        <item x="57"/>
        <item x="153"/>
        <item x="64"/>
        <item x="99"/>
        <item x="10"/>
        <item x="72"/>
        <item x="130"/>
        <item x="175"/>
        <item x="112"/>
        <item x="95"/>
        <item x="5"/>
        <item x="166"/>
        <item x="49"/>
        <item x="117"/>
        <item x="120"/>
        <item x="139"/>
        <item x="37"/>
        <item x="119"/>
        <item x="140"/>
        <item x="125"/>
        <item x="113"/>
        <item x="102"/>
        <item x="60"/>
        <item x="124"/>
        <item x="114"/>
        <item x="3"/>
        <item x="172"/>
        <item x="42"/>
        <item x="54"/>
        <item x="144"/>
        <item x="8"/>
        <item x="123"/>
        <item x="183"/>
        <item x="143"/>
        <item x="6"/>
        <item x="25"/>
        <item x="39"/>
        <item x="134"/>
        <item x="26"/>
        <item x="103"/>
        <item x="66"/>
        <item x="18"/>
        <item x="135"/>
        <item x="30"/>
        <item x="174"/>
        <item x="71"/>
        <item x="145"/>
        <item x="77"/>
        <item x="2"/>
        <item x="32"/>
        <item x="11"/>
        <item x="29"/>
        <item x="138"/>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items count="8">
        <item x="3"/>
        <item x="4"/>
        <item x="0"/>
        <item x="1"/>
        <item x="5"/>
        <item x="6"/>
        <item x="2"/>
        <item t="default"/>
      </items>
    </pivotField>
  </pivotFields>
  <rowItems count="1">
    <i/>
  </rowItems>
  <colItems count="1">
    <i/>
  </colItems>
  <dataFields count="1">
    <dataField name="Sum of Market C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CC3CA6-363D-4865-89F9-0AADDE10A95D}" name="PivotTable5"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in Name">
  <location ref="AD4:AE191" firstHeaderRow="1" firstDataRow="1" firstDataCol="1"/>
  <pivotFields count="11">
    <pivotField axis="axisRow" showAll="0" sortType="descending">
      <items count="187">
        <item x="12"/>
        <item x="136"/>
        <item x="70"/>
        <item x="180"/>
        <item x="86"/>
        <item x="96"/>
        <item x="165"/>
        <item x="116"/>
        <item x="34"/>
        <item x="83"/>
        <item x="168"/>
        <item x="105"/>
        <item x="89"/>
        <item x="74"/>
        <item x="41"/>
        <item x="52"/>
        <item x="44"/>
        <item x="46"/>
        <item x="75"/>
        <item x="45"/>
        <item x="35"/>
        <item x="63"/>
        <item x="53"/>
        <item x="122"/>
        <item x="167"/>
        <item x="36"/>
        <item x="110"/>
        <item x="146"/>
        <item x="27"/>
        <item x="111"/>
        <item x="43"/>
        <item x="108"/>
        <item x="0"/>
        <item x="14"/>
        <item x="4"/>
        <item x="155"/>
        <item x="56"/>
        <item x="80"/>
        <item x="17"/>
        <item x="94"/>
        <item x="9"/>
        <item x="182"/>
        <item x="51"/>
        <item x="164"/>
        <item x="131"/>
        <item x="81"/>
        <item x="48"/>
        <item x="118"/>
        <item x="84"/>
        <item x="88"/>
        <item x="154"/>
        <item x="171"/>
        <item x="61"/>
        <item x="19"/>
        <item x="162"/>
        <item x="40"/>
        <item x="16"/>
        <item x="7"/>
        <item x="79"/>
        <item x="31"/>
        <item x="38"/>
        <item x="141"/>
        <item x="1"/>
        <item x="184"/>
        <item x="93"/>
        <item x="176"/>
        <item x="76"/>
        <item x="22"/>
        <item x="133"/>
        <item x="20"/>
        <item x="15"/>
        <item x="127"/>
        <item x="106"/>
        <item x="150"/>
        <item x="73"/>
        <item x="58"/>
        <item x="160"/>
        <item x="91"/>
        <item x="28"/>
        <item x="47"/>
        <item x="98"/>
        <item x="161"/>
        <item x="178"/>
        <item x="104"/>
        <item x="107"/>
        <item x="185"/>
        <item x="156"/>
        <item x="100"/>
        <item x="21"/>
        <item x="82"/>
        <item x="152"/>
        <item x="121"/>
        <item x="137"/>
        <item x="23"/>
        <item x="163"/>
        <item x="92"/>
        <item x="170"/>
        <item x="173"/>
        <item x="69"/>
        <item x="50"/>
        <item x="68"/>
        <item x="67"/>
        <item x="85"/>
        <item x="151"/>
        <item x="148"/>
        <item x="179"/>
        <item x="169"/>
        <item x="97"/>
        <item x="90"/>
        <item x="24"/>
        <item x="142"/>
        <item x="62"/>
        <item x="132"/>
        <item x="129"/>
        <item x="159"/>
        <item x="128"/>
        <item x="158"/>
        <item x="126"/>
        <item x="65"/>
        <item x="78"/>
        <item x="177"/>
        <item x="55"/>
        <item x="33"/>
        <item x="149"/>
        <item x="147"/>
        <item x="115"/>
        <item x="101"/>
        <item x="109"/>
        <item x="157"/>
        <item x="13"/>
        <item x="181"/>
        <item x="59"/>
        <item x="57"/>
        <item x="153"/>
        <item x="64"/>
        <item x="99"/>
        <item x="10"/>
        <item x="72"/>
        <item x="130"/>
        <item x="175"/>
        <item x="112"/>
        <item x="95"/>
        <item x="5"/>
        <item x="166"/>
        <item x="49"/>
        <item x="117"/>
        <item x="120"/>
        <item x="139"/>
        <item x="37"/>
        <item x="119"/>
        <item x="140"/>
        <item x="125"/>
        <item x="113"/>
        <item x="102"/>
        <item x="60"/>
        <item x="124"/>
        <item x="114"/>
        <item x="3"/>
        <item x="172"/>
        <item x="42"/>
        <item x="54"/>
        <item x="144"/>
        <item x="8"/>
        <item x="123"/>
        <item x="183"/>
        <item x="143"/>
        <item x="6"/>
        <item x="25"/>
        <item x="39"/>
        <item x="134"/>
        <item x="26"/>
        <item x="103"/>
        <item x="66"/>
        <item x="18"/>
        <item x="135"/>
        <item x="30"/>
        <item x="174"/>
        <item x="71"/>
        <item x="145"/>
        <item x="77"/>
        <item x="2"/>
        <item x="32"/>
        <item x="11"/>
        <item x="29"/>
        <item x="138"/>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items count="8">
        <item x="3"/>
        <item x="4"/>
        <item x="0"/>
        <item x="1"/>
        <item x="5"/>
        <item x="6"/>
        <item x="2"/>
        <item t="default"/>
      </items>
    </pivotField>
  </pivotFields>
  <rowFields count="1">
    <field x="0"/>
  </rowFields>
  <rowItems count="187">
    <i>
      <x v="32"/>
    </i>
    <i>
      <x v="62"/>
    </i>
    <i>
      <x v="180"/>
    </i>
    <i>
      <x v="157"/>
    </i>
    <i>
      <x v="34"/>
    </i>
    <i>
      <x v="142"/>
    </i>
    <i>
      <x v="166"/>
    </i>
    <i>
      <x v="57"/>
    </i>
    <i>
      <x v="162"/>
    </i>
    <i>
      <x v="40"/>
    </i>
    <i>
      <x v="69"/>
    </i>
    <i>
      <x v="88"/>
    </i>
    <i>
      <x v="67"/>
    </i>
    <i>
      <x v="93"/>
    </i>
    <i>
      <x v="109"/>
    </i>
    <i>
      <x v="136"/>
    </i>
    <i>
      <x v="182"/>
    </i>
    <i>
      <x/>
    </i>
    <i>
      <x v="129"/>
    </i>
    <i>
      <x v="33"/>
    </i>
    <i>
      <x v="167"/>
    </i>
    <i>
      <x v="70"/>
    </i>
    <i>
      <x v="56"/>
    </i>
    <i>
      <x v="170"/>
    </i>
    <i>
      <x v="38"/>
    </i>
    <i>
      <x v="173"/>
    </i>
    <i>
      <x v="53"/>
    </i>
    <i>
      <x v="28"/>
    </i>
    <i>
      <x v="78"/>
    </i>
    <i>
      <x v="183"/>
    </i>
    <i>
      <x v="181"/>
    </i>
    <i>
      <x v="175"/>
    </i>
    <i>
      <x v="59"/>
    </i>
    <i>
      <x v="122"/>
    </i>
    <i>
      <x v="8"/>
    </i>
    <i>
      <x v="20"/>
    </i>
    <i>
      <x v="25"/>
    </i>
    <i>
      <x v="148"/>
    </i>
    <i>
      <x v="60"/>
    </i>
    <i>
      <x v="168"/>
    </i>
    <i>
      <x v="55"/>
    </i>
    <i>
      <x v="14"/>
    </i>
    <i>
      <x v="159"/>
    </i>
    <i>
      <x v="30"/>
    </i>
    <i>
      <x v="19"/>
    </i>
    <i>
      <x v="16"/>
    </i>
    <i>
      <x v="17"/>
    </i>
    <i>
      <x v="79"/>
    </i>
    <i>
      <x v="46"/>
    </i>
    <i>
      <x v="144"/>
    </i>
    <i>
      <x v="99"/>
    </i>
    <i>
      <x v="42"/>
    </i>
    <i>
      <x v="15"/>
    </i>
    <i>
      <x v="22"/>
    </i>
    <i>
      <x v="160"/>
    </i>
    <i>
      <x v="121"/>
    </i>
    <i>
      <x v="36"/>
    </i>
    <i>
      <x v="132"/>
    </i>
    <i>
      <x v="75"/>
    </i>
    <i>
      <x v="131"/>
    </i>
    <i>
      <x v="154"/>
    </i>
    <i>
      <x v="52"/>
    </i>
    <i>
      <x v="111"/>
    </i>
    <i>
      <x v="21"/>
    </i>
    <i>
      <x v="134"/>
    </i>
    <i>
      <x v="118"/>
    </i>
    <i>
      <x v="172"/>
    </i>
    <i>
      <x v="101"/>
    </i>
    <i>
      <x v="100"/>
    </i>
    <i>
      <x v="98"/>
    </i>
    <i>
      <x v="2"/>
    </i>
    <i>
      <x v="177"/>
    </i>
    <i>
      <x v="137"/>
    </i>
    <i>
      <x v="74"/>
    </i>
    <i>
      <x v="13"/>
    </i>
    <i>
      <x v="18"/>
    </i>
    <i>
      <x v="66"/>
    </i>
    <i>
      <x v="179"/>
    </i>
    <i>
      <x v="119"/>
    </i>
    <i>
      <x v="58"/>
    </i>
    <i>
      <x v="37"/>
    </i>
    <i>
      <x v="45"/>
    </i>
    <i>
      <x v="89"/>
    </i>
    <i>
      <x v="9"/>
    </i>
    <i>
      <x v="48"/>
    </i>
    <i>
      <x v="102"/>
    </i>
    <i>
      <x v="4"/>
    </i>
    <i>
      <x v="185"/>
    </i>
    <i>
      <x v="49"/>
    </i>
    <i>
      <x v="12"/>
    </i>
    <i>
      <x v="108"/>
    </i>
    <i>
      <x v="77"/>
    </i>
    <i>
      <x v="95"/>
    </i>
    <i>
      <x v="64"/>
    </i>
    <i>
      <x v="39"/>
    </i>
    <i>
      <x v="141"/>
    </i>
    <i>
      <x v="5"/>
    </i>
    <i>
      <x v="107"/>
    </i>
    <i>
      <x v="80"/>
    </i>
    <i>
      <x v="135"/>
    </i>
    <i>
      <x v="87"/>
    </i>
    <i>
      <x v="126"/>
    </i>
    <i>
      <x v="153"/>
    </i>
    <i>
      <x v="171"/>
    </i>
    <i>
      <x v="83"/>
    </i>
    <i>
      <x v="11"/>
    </i>
    <i>
      <x v="72"/>
    </i>
    <i>
      <x v="84"/>
    </i>
    <i>
      <x v="31"/>
    </i>
    <i>
      <x v="127"/>
    </i>
    <i>
      <x v="26"/>
    </i>
    <i>
      <x v="140"/>
    </i>
    <i>
      <x v="29"/>
    </i>
    <i>
      <x v="156"/>
    </i>
    <i>
      <x v="152"/>
    </i>
    <i>
      <x v="125"/>
    </i>
    <i>
      <x v="7"/>
    </i>
    <i>
      <x v="145"/>
    </i>
    <i>
      <x v="47"/>
    </i>
    <i>
      <x v="149"/>
    </i>
    <i>
      <x v="146"/>
    </i>
    <i>
      <x v="91"/>
    </i>
    <i>
      <x v="23"/>
    </i>
    <i>
      <x v="163"/>
    </i>
    <i>
      <x v="155"/>
    </i>
    <i>
      <x v="151"/>
    </i>
    <i>
      <x v="117"/>
    </i>
    <i>
      <x v="71"/>
    </i>
    <i>
      <x v="115"/>
    </i>
    <i>
      <x v="113"/>
    </i>
    <i>
      <x v="138"/>
    </i>
    <i>
      <x v="44"/>
    </i>
    <i>
      <x v="112"/>
    </i>
    <i>
      <x v="68"/>
    </i>
    <i>
      <x v="169"/>
    </i>
    <i>
      <x v="174"/>
    </i>
    <i>
      <x v="1"/>
    </i>
    <i>
      <x v="92"/>
    </i>
    <i>
      <x v="184"/>
    </i>
    <i>
      <x v="147"/>
    </i>
    <i>
      <x v="150"/>
    </i>
    <i>
      <x v="61"/>
    </i>
    <i>
      <x v="110"/>
    </i>
    <i>
      <x v="165"/>
    </i>
    <i>
      <x v="161"/>
    </i>
    <i>
      <x v="178"/>
    </i>
    <i>
      <x v="27"/>
    </i>
    <i>
      <x v="124"/>
    </i>
    <i>
      <x v="104"/>
    </i>
    <i>
      <x v="123"/>
    </i>
    <i>
      <x v="73"/>
    </i>
    <i>
      <x v="103"/>
    </i>
    <i>
      <x v="90"/>
    </i>
    <i>
      <x v="133"/>
    </i>
    <i>
      <x v="50"/>
    </i>
    <i>
      <x v="35"/>
    </i>
    <i>
      <x v="86"/>
    </i>
    <i>
      <x v="128"/>
    </i>
    <i>
      <x v="116"/>
    </i>
    <i>
      <x v="114"/>
    </i>
    <i>
      <x v="76"/>
    </i>
    <i>
      <x v="81"/>
    </i>
    <i>
      <x v="54"/>
    </i>
    <i>
      <x v="94"/>
    </i>
    <i>
      <x v="43"/>
    </i>
    <i>
      <x v="6"/>
    </i>
    <i>
      <x v="143"/>
    </i>
    <i>
      <x v="24"/>
    </i>
    <i>
      <x v="10"/>
    </i>
    <i>
      <x v="106"/>
    </i>
    <i>
      <x v="96"/>
    </i>
    <i>
      <x v="158"/>
    </i>
    <i>
      <x v="51"/>
    </i>
    <i>
      <x v="65"/>
    </i>
    <i>
      <x v="97"/>
    </i>
    <i>
      <x v="176"/>
    </i>
    <i>
      <x v="139"/>
    </i>
    <i>
      <x v="120"/>
    </i>
    <i>
      <x v="82"/>
    </i>
    <i>
      <x v="105"/>
    </i>
    <i>
      <x v="3"/>
    </i>
    <i>
      <x v="130"/>
    </i>
    <i>
      <x v="41"/>
    </i>
    <i>
      <x v="164"/>
    </i>
    <i>
      <x v="63"/>
    </i>
    <i>
      <x v="85"/>
    </i>
    <i t="grand">
      <x/>
    </i>
  </rowItems>
  <colItems count="1">
    <i/>
  </colItems>
  <dataFields count="1">
    <dataField name="Sum of Market C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3E4BC2-9005-4898-B7F4-A756435A0B02}" name="PivotTable4"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8:C49" firstHeaderRow="0" firstDataRow="1" firstDataCol="1"/>
  <pivotFields count="11">
    <pivotField axis="axisRow" showAll="0" measureFilter="1">
      <items count="187">
        <item x="12"/>
        <item x="136"/>
        <item x="70"/>
        <item x="180"/>
        <item x="86"/>
        <item x="96"/>
        <item x="165"/>
        <item x="116"/>
        <item x="34"/>
        <item x="83"/>
        <item x="168"/>
        <item x="105"/>
        <item x="89"/>
        <item x="74"/>
        <item x="41"/>
        <item x="52"/>
        <item x="44"/>
        <item x="46"/>
        <item x="75"/>
        <item x="45"/>
        <item x="35"/>
        <item x="63"/>
        <item x="53"/>
        <item x="122"/>
        <item x="167"/>
        <item x="36"/>
        <item x="110"/>
        <item x="146"/>
        <item x="27"/>
        <item x="111"/>
        <item x="43"/>
        <item x="108"/>
        <item x="0"/>
        <item x="14"/>
        <item x="4"/>
        <item x="155"/>
        <item x="56"/>
        <item x="80"/>
        <item x="17"/>
        <item x="94"/>
        <item x="9"/>
        <item x="182"/>
        <item x="51"/>
        <item x="164"/>
        <item x="131"/>
        <item x="81"/>
        <item x="48"/>
        <item x="118"/>
        <item x="84"/>
        <item x="88"/>
        <item x="154"/>
        <item x="171"/>
        <item x="61"/>
        <item x="19"/>
        <item x="162"/>
        <item x="40"/>
        <item x="16"/>
        <item x="7"/>
        <item x="79"/>
        <item x="31"/>
        <item x="38"/>
        <item x="141"/>
        <item x="1"/>
        <item x="184"/>
        <item x="93"/>
        <item x="176"/>
        <item x="76"/>
        <item x="22"/>
        <item x="133"/>
        <item x="20"/>
        <item x="15"/>
        <item x="127"/>
        <item x="106"/>
        <item x="150"/>
        <item x="73"/>
        <item x="58"/>
        <item x="160"/>
        <item x="91"/>
        <item x="28"/>
        <item x="47"/>
        <item x="98"/>
        <item x="161"/>
        <item x="178"/>
        <item x="104"/>
        <item x="107"/>
        <item x="185"/>
        <item x="156"/>
        <item x="100"/>
        <item x="21"/>
        <item x="82"/>
        <item x="152"/>
        <item x="121"/>
        <item x="137"/>
        <item x="23"/>
        <item x="163"/>
        <item x="92"/>
        <item x="170"/>
        <item x="173"/>
        <item x="69"/>
        <item x="50"/>
        <item x="68"/>
        <item x="67"/>
        <item x="85"/>
        <item x="151"/>
        <item x="148"/>
        <item x="179"/>
        <item x="169"/>
        <item x="97"/>
        <item x="90"/>
        <item x="24"/>
        <item x="142"/>
        <item x="62"/>
        <item x="132"/>
        <item x="129"/>
        <item x="159"/>
        <item x="128"/>
        <item x="158"/>
        <item x="126"/>
        <item x="65"/>
        <item x="78"/>
        <item x="177"/>
        <item x="55"/>
        <item x="33"/>
        <item x="149"/>
        <item x="147"/>
        <item x="115"/>
        <item x="101"/>
        <item x="109"/>
        <item x="157"/>
        <item x="13"/>
        <item x="181"/>
        <item x="59"/>
        <item x="57"/>
        <item x="153"/>
        <item x="64"/>
        <item x="99"/>
        <item x="10"/>
        <item x="72"/>
        <item x="130"/>
        <item x="175"/>
        <item x="112"/>
        <item x="95"/>
        <item x="5"/>
        <item x="166"/>
        <item x="49"/>
        <item x="117"/>
        <item x="120"/>
        <item x="139"/>
        <item x="37"/>
        <item x="119"/>
        <item x="140"/>
        <item x="125"/>
        <item x="113"/>
        <item x="102"/>
        <item x="60"/>
        <item x="124"/>
        <item x="114"/>
        <item x="3"/>
        <item x="172"/>
        <item x="42"/>
        <item x="54"/>
        <item x="144"/>
        <item x="8"/>
        <item x="123"/>
        <item x="183"/>
        <item x="143"/>
        <item x="6"/>
        <item x="25"/>
        <item x="39"/>
        <item x="134"/>
        <item x="26"/>
        <item x="103"/>
        <item x="66"/>
        <item x="18"/>
        <item x="135"/>
        <item x="30"/>
        <item x="174"/>
        <item x="71"/>
        <item x="145"/>
        <item x="77"/>
        <item x="2"/>
        <item x="32"/>
        <item x="11"/>
        <item x="29"/>
        <item x="138"/>
        <item x="87"/>
        <item t="default"/>
      </items>
    </pivotField>
    <pivotField showAll="0"/>
    <pivotField dataField="1" showAll="0"/>
    <pivotField showAll="0"/>
    <pivotField showAll="0"/>
    <pivotField showAll="0"/>
    <pivotField showAll="0"/>
    <pivotField showAll="0"/>
    <pivotField dataField="1" showAll="0"/>
    <pivotField showAll="0"/>
    <pivotField showAll="0">
      <items count="8">
        <item x="3"/>
        <item x="4"/>
        <item x="0"/>
        <item x="1"/>
        <item x="5"/>
        <item x="6"/>
        <item x="2"/>
        <item t="default"/>
      </items>
    </pivotField>
  </pivotFields>
  <rowFields count="1">
    <field x="0"/>
  </rowFields>
  <rowItems count="11">
    <i>
      <x v="32"/>
    </i>
    <i>
      <x v="34"/>
    </i>
    <i>
      <x v="36"/>
    </i>
    <i>
      <x v="62"/>
    </i>
    <i>
      <x v="94"/>
    </i>
    <i>
      <x v="101"/>
    </i>
    <i>
      <x v="142"/>
    </i>
    <i>
      <x v="145"/>
    </i>
    <i>
      <x v="157"/>
    </i>
    <i>
      <x v="182"/>
    </i>
    <i t="grand">
      <x/>
    </i>
  </rowItems>
  <colFields count="1">
    <field x="-2"/>
  </colFields>
  <colItems count="2">
    <i>
      <x/>
    </i>
    <i i="1">
      <x v="1"/>
    </i>
  </colItems>
  <dataFields count="2">
    <dataField name="Dollar Volume per Supply" fld="8" baseField="0" baseItem="32"/>
    <dataField name="  Price (USD)" fld="2" baseField="0" baseItem="32"/>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6BDD51-F321-490A-8503-54359498D5E4}" name="PivotTable3"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in Name">
  <location ref="A21:B32" firstHeaderRow="1" firstDataRow="1" firstDataCol="1"/>
  <pivotFields count="11">
    <pivotField axis="axisRow" showAll="0" measureFilter="1">
      <items count="187">
        <item x="12"/>
        <item x="136"/>
        <item x="70"/>
        <item x="180"/>
        <item x="86"/>
        <item x="96"/>
        <item x="165"/>
        <item x="116"/>
        <item x="34"/>
        <item x="83"/>
        <item x="168"/>
        <item x="105"/>
        <item x="89"/>
        <item x="74"/>
        <item x="41"/>
        <item x="52"/>
        <item x="44"/>
        <item x="46"/>
        <item x="75"/>
        <item x="45"/>
        <item x="35"/>
        <item x="63"/>
        <item x="53"/>
        <item x="122"/>
        <item x="167"/>
        <item x="36"/>
        <item x="110"/>
        <item x="146"/>
        <item x="27"/>
        <item x="111"/>
        <item x="43"/>
        <item x="108"/>
        <item x="0"/>
        <item x="14"/>
        <item x="4"/>
        <item x="155"/>
        <item x="56"/>
        <item x="80"/>
        <item x="17"/>
        <item x="94"/>
        <item x="9"/>
        <item x="182"/>
        <item x="51"/>
        <item x="164"/>
        <item x="131"/>
        <item x="81"/>
        <item x="48"/>
        <item x="118"/>
        <item x="84"/>
        <item x="88"/>
        <item x="154"/>
        <item x="171"/>
        <item x="61"/>
        <item x="19"/>
        <item x="162"/>
        <item x="40"/>
        <item x="16"/>
        <item x="7"/>
        <item x="79"/>
        <item x="31"/>
        <item x="38"/>
        <item x="141"/>
        <item x="1"/>
        <item x="184"/>
        <item x="93"/>
        <item x="176"/>
        <item x="76"/>
        <item x="22"/>
        <item x="133"/>
        <item x="20"/>
        <item x="15"/>
        <item x="127"/>
        <item x="106"/>
        <item x="150"/>
        <item x="73"/>
        <item x="58"/>
        <item x="160"/>
        <item x="91"/>
        <item x="28"/>
        <item x="47"/>
        <item x="98"/>
        <item x="161"/>
        <item x="178"/>
        <item x="104"/>
        <item x="107"/>
        <item x="185"/>
        <item x="156"/>
        <item x="100"/>
        <item x="21"/>
        <item x="82"/>
        <item x="152"/>
        <item x="121"/>
        <item x="137"/>
        <item x="23"/>
        <item x="163"/>
        <item x="92"/>
        <item x="170"/>
        <item x="173"/>
        <item x="69"/>
        <item x="50"/>
        <item x="68"/>
        <item x="67"/>
        <item x="85"/>
        <item x="151"/>
        <item x="148"/>
        <item x="179"/>
        <item x="169"/>
        <item x="97"/>
        <item x="90"/>
        <item x="24"/>
        <item x="142"/>
        <item x="62"/>
        <item x="132"/>
        <item x="129"/>
        <item x="159"/>
        <item x="128"/>
        <item x="158"/>
        <item x="126"/>
        <item x="65"/>
        <item x="78"/>
        <item x="177"/>
        <item x="55"/>
        <item x="33"/>
        <item x="149"/>
        <item x="147"/>
        <item x="115"/>
        <item x="101"/>
        <item x="109"/>
        <item x="157"/>
        <item x="13"/>
        <item x="181"/>
        <item x="59"/>
        <item x="57"/>
        <item x="153"/>
        <item x="64"/>
        <item x="99"/>
        <item x="10"/>
        <item x="72"/>
        <item x="130"/>
        <item x="175"/>
        <item x="112"/>
        <item x="95"/>
        <item x="5"/>
        <item x="166"/>
        <item x="49"/>
        <item x="117"/>
        <item x="120"/>
        <item x="139"/>
        <item x="37"/>
        <item x="119"/>
        <item x="140"/>
        <item x="125"/>
        <item x="113"/>
        <item x="102"/>
        <item x="60"/>
        <item x="124"/>
        <item x="114"/>
        <item x="3"/>
        <item x="172"/>
        <item x="42"/>
        <item x="54"/>
        <item x="144"/>
        <item x="8"/>
        <item x="123"/>
        <item x="183"/>
        <item x="143"/>
        <item x="6"/>
        <item x="25"/>
        <item x="39"/>
        <item x="134"/>
        <item x="26"/>
        <item x="103"/>
        <item x="66"/>
        <item x="18"/>
        <item x="135"/>
        <item x="30"/>
        <item x="174"/>
        <item x="71"/>
        <item x="145"/>
        <item x="77"/>
        <item x="2"/>
        <item x="32"/>
        <item x="11"/>
        <item x="29"/>
        <item x="138"/>
        <item x="87"/>
        <item t="default"/>
      </items>
    </pivotField>
    <pivotField showAll="0"/>
    <pivotField showAll="0"/>
    <pivotField dataField="1" showAll="0"/>
    <pivotField showAll="0"/>
    <pivotField showAll="0"/>
    <pivotField showAll="0"/>
    <pivotField showAll="0"/>
    <pivotField showAll="0"/>
    <pivotField showAll="0"/>
    <pivotField showAll="0">
      <items count="8">
        <item x="3"/>
        <item x="4"/>
        <item x="0"/>
        <item x="1"/>
        <item x="5"/>
        <item x="6"/>
        <item x="2"/>
        <item t="default"/>
      </items>
    </pivotField>
  </pivotFields>
  <rowFields count="1">
    <field x="0"/>
  </rowFields>
  <rowItems count="11">
    <i>
      <x v="29"/>
    </i>
    <i>
      <x v="65"/>
    </i>
    <i>
      <x v="82"/>
    </i>
    <i>
      <x v="92"/>
    </i>
    <i>
      <x v="94"/>
    </i>
    <i>
      <x v="113"/>
    </i>
    <i>
      <x v="140"/>
    </i>
    <i>
      <x v="143"/>
    </i>
    <i>
      <x v="178"/>
    </i>
    <i>
      <x v="179"/>
    </i>
    <i t="grand">
      <x/>
    </i>
  </rowItems>
  <colItems count="1">
    <i/>
  </colItems>
  <dataFields count="1">
    <dataField name="Sum of 1h Change (%)" fld="3"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A4E45D-A32D-4A25-B810-7CEC994C823F}" name="PivotTable2"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in Name">
  <location ref="A2:B13" firstHeaderRow="1" firstDataRow="1" firstDataCol="1"/>
  <pivotFields count="11">
    <pivotField axis="axisRow" showAll="0" measureFilter="1" sortType="descending">
      <items count="187">
        <item x="12"/>
        <item x="136"/>
        <item x="70"/>
        <item x="180"/>
        <item x="86"/>
        <item x="96"/>
        <item x="165"/>
        <item x="116"/>
        <item x="34"/>
        <item x="83"/>
        <item x="168"/>
        <item x="105"/>
        <item x="89"/>
        <item x="74"/>
        <item x="41"/>
        <item x="52"/>
        <item x="44"/>
        <item x="46"/>
        <item x="75"/>
        <item x="45"/>
        <item x="35"/>
        <item x="63"/>
        <item x="53"/>
        <item x="122"/>
        <item x="167"/>
        <item x="36"/>
        <item x="110"/>
        <item x="146"/>
        <item x="27"/>
        <item x="111"/>
        <item x="43"/>
        <item x="108"/>
        <item x="0"/>
        <item x="14"/>
        <item x="4"/>
        <item x="155"/>
        <item x="56"/>
        <item x="80"/>
        <item x="17"/>
        <item x="94"/>
        <item x="9"/>
        <item x="182"/>
        <item x="51"/>
        <item x="164"/>
        <item x="131"/>
        <item x="81"/>
        <item x="48"/>
        <item x="118"/>
        <item x="84"/>
        <item x="88"/>
        <item x="154"/>
        <item x="171"/>
        <item x="61"/>
        <item x="19"/>
        <item x="162"/>
        <item x="40"/>
        <item x="16"/>
        <item x="7"/>
        <item x="79"/>
        <item x="31"/>
        <item x="38"/>
        <item x="141"/>
        <item x="1"/>
        <item x="184"/>
        <item x="93"/>
        <item x="176"/>
        <item x="76"/>
        <item x="22"/>
        <item x="133"/>
        <item x="20"/>
        <item x="15"/>
        <item x="127"/>
        <item x="106"/>
        <item x="150"/>
        <item x="73"/>
        <item x="58"/>
        <item x="160"/>
        <item x="91"/>
        <item x="28"/>
        <item x="47"/>
        <item x="98"/>
        <item x="161"/>
        <item x="178"/>
        <item x="104"/>
        <item x="107"/>
        <item x="185"/>
        <item x="156"/>
        <item x="100"/>
        <item x="21"/>
        <item x="82"/>
        <item x="152"/>
        <item x="121"/>
        <item x="137"/>
        <item x="23"/>
        <item x="163"/>
        <item x="92"/>
        <item x="170"/>
        <item x="173"/>
        <item x="69"/>
        <item x="50"/>
        <item x="68"/>
        <item x="67"/>
        <item x="85"/>
        <item x="151"/>
        <item x="148"/>
        <item x="179"/>
        <item x="169"/>
        <item x="97"/>
        <item x="90"/>
        <item x="24"/>
        <item x="142"/>
        <item x="62"/>
        <item x="132"/>
        <item x="129"/>
        <item x="159"/>
        <item x="128"/>
        <item x="158"/>
        <item x="126"/>
        <item x="65"/>
        <item x="78"/>
        <item x="177"/>
        <item x="55"/>
        <item x="33"/>
        <item x="149"/>
        <item x="147"/>
        <item x="115"/>
        <item x="101"/>
        <item x="109"/>
        <item x="157"/>
        <item x="13"/>
        <item x="181"/>
        <item x="59"/>
        <item x="57"/>
        <item x="153"/>
        <item x="64"/>
        <item x="99"/>
        <item x="10"/>
        <item x="72"/>
        <item x="130"/>
        <item x="175"/>
        <item x="112"/>
        <item x="95"/>
        <item x="5"/>
        <item x="166"/>
        <item x="49"/>
        <item x="117"/>
        <item x="120"/>
        <item x="139"/>
        <item x="37"/>
        <item x="119"/>
        <item x="140"/>
        <item x="125"/>
        <item x="113"/>
        <item x="102"/>
        <item x="60"/>
        <item x="124"/>
        <item x="114"/>
        <item x="3"/>
        <item x="172"/>
        <item x="42"/>
        <item x="54"/>
        <item x="144"/>
        <item x="8"/>
        <item x="123"/>
        <item x="183"/>
        <item x="143"/>
        <item x="6"/>
        <item x="25"/>
        <item x="39"/>
        <item x="134"/>
        <item x="26"/>
        <item x="103"/>
        <item x="66"/>
        <item x="18"/>
        <item x="135"/>
        <item x="30"/>
        <item x="174"/>
        <item x="71"/>
        <item x="145"/>
        <item x="77"/>
        <item x="2"/>
        <item x="32"/>
        <item x="11"/>
        <item x="29"/>
        <item x="138"/>
        <item x="8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8">
        <item x="3"/>
        <item x="4"/>
        <item x="0"/>
        <item x="1"/>
        <item x="5"/>
        <item x="6"/>
        <item x="2"/>
        <item t="default"/>
      </items>
    </pivotField>
  </pivotFields>
  <rowFields count="1">
    <field x="0"/>
  </rowFields>
  <rowItems count="11">
    <i>
      <x v="32"/>
    </i>
    <i>
      <x v="62"/>
    </i>
    <i>
      <x v="34"/>
    </i>
    <i>
      <x v="142"/>
    </i>
    <i>
      <x v="182"/>
    </i>
    <i>
      <x v="5"/>
    </i>
    <i>
      <x v="160"/>
    </i>
    <i>
      <x v="36"/>
    </i>
    <i>
      <x v="150"/>
    </i>
    <i>
      <x v="56"/>
    </i>
    <i t="grand">
      <x/>
    </i>
  </rowItems>
  <colItems count="1">
    <i/>
  </colItems>
  <dataFields count="1">
    <dataField name=" Price (USD)" fld="2"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A8B4F2-239D-4491-9D57-12713D3B4940}" name="PivotTable14"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in Name">
  <location ref="M29:N49" firstHeaderRow="1" firstDataRow="1" firstDataCol="1"/>
  <pivotFields count="11">
    <pivotField axis="axisRow" showAll="0" measureFilter="1" sortType="descending">
      <items count="187">
        <item x="87"/>
        <item x="138"/>
        <item x="29"/>
        <item x="11"/>
        <item x="32"/>
        <item x="2"/>
        <item x="77"/>
        <item x="145"/>
        <item x="71"/>
        <item x="174"/>
        <item x="30"/>
        <item x="135"/>
        <item x="18"/>
        <item x="66"/>
        <item x="103"/>
        <item x="26"/>
        <item x="134"/>
        <item x="39"/>
        <item x="25"/>
        <item x="6"/>
        <item x="143"/>
        <item x="183"/>
        <item x="123"/>
        <item x="8"/>
        <item x="144"/>
        <item x="54"/>
        <item x="42"/>
        <item x="172"/>
        <item x="3"/>
        <item x="114"/>
        <item x="124"/>
        <item x="60"/>
        <item x="102"/>
        <item x="113"/>
        <item x="125"/>
        <item x="140"/>
        <item x="119"/>
        <item x="37"/>
        <item x="139"/>
        <item x="120"/>
        <item x="117"/>
        <item x="49"/>
        <item x="166"/>
        <item sd="0" x="5"/>
        <item x="95"/>
        <item x="112"/>
        <item x="175"/>
        <item x="130"/>
        <item x="72"/>
        <item x="10"/>
        <item x="99"/>
        <item x="64"/>
        <item x="153"/>
        <item x="57"/>
        <item x="59"/>
        <item x="181"/>
        <item x="13"/>
        <item x="157"/>
        <item x="109"/>
        <item x="101"/>
        <item x="115"/>
        <item x="147"/>
        <item x="149"/>
        <item x="33"/>
        <item x="55"/>
        <item x="177"/>
        <item x="78"/>
        <item x="65"/>
        <item x="126"/>
        <item x="158"/>
        <item x="128"/>
        <item x="159"/>
        <item x="129"/>
        <item x="132"/>
        <item x="62"/>
        <item x="142"/>
        <item x="24"/>
        <item x="90"/>
        <item x="97"/>
        <item x="169"/>
        <item x="179"/>
        <item x="148"/>
        <item x="151"/>
        <item x="85"/>
        <item x="67"/>
        <item x="68"/>
        <item x="50"/>
        <item x="69"/>
        <item x="173"/>
        <item x="170"/>
        <item x="92"/>
        <item x="163"/>
        <item x="23"/>
        <item x="137"/>
        <item x="121"/>
        <item x="152"/>
        <item x="82"/>
        <item x="21"/>
        <item x="100"/>
        <item x="156"/>
        <item x="185"/>
        <item x="107"/>
        <item x="104"/>
        <item x="178"/>
        <item x="161"/>
        <item x="98"/>
        <item x="47"/>
        <item x="28"/>
        <item x="91"/>
        <item x="160"/>
        <item x="58"/>
        <item x="73"/>
        <item x="150"/>
        <item x="106"/>
        <item x="127"/>
        <item x="15"/>
        <item x="20"/>
        <item x="133"/>
        <item x="22"/>
        <item x="76"/>
        <item x="176"/>
        <item x="93"/>
        <item x="184"/>
        <item x="1"/>
        <item x="141"/>
        <item x="38"/>
        <item x="31"/>
        <item x="79"/>
        <item x="7"/>
        <item x="16"/>
        <item x="40"/>
        <item x="162"/>
        <item x="19"/>
        <item x="61"/>
        <item x="171"/>
        <item x="154"/>
        <item x="88"/>
        <item x="84"/>
        <item x="118"/>
        <item x="48"/>
        <item x="81"/>
        <item x="131"/>
        <item x="164"/>
        <item x="51"/>
        <item x="182"/>
        <item x="9"/>
        <item x="94"/>
        <item x="17"/>
        <item x="80"/>
        <item x="56"/>
        <item x="155"/>
        <item x="4"/>
        <item x="14"/>
        <item x="0"/>
        <item x="108"/>
        <item x="43"/>
        <item x="111"/>
        <item x="27"/>
        <item x="146"/>
        <item x="110"/>
        <item x="36"/>
        <item x="167"/>
        <item x="122"/>
        <item x="53"/>
        <item x="63"/>
        <item x="35"/>
        <item x="45"/>
        <item x="75"/>
        <item x="46"/>
        <item x="44"/>
        <item x="52"/>
        <item x="41"/>
        <item x="74"/>
        <item x="89"/>
        <item x="105"/>
        <item x="168"/>
        <item x="83"/>
        <item x="34"/>
        <item x="116"/>
        <item x="165"/>
        <item x="96"/>
        <item x="86"/>
        <item x="180"/>
        <item x="70"/>
        <item x="136"/>
        <item x="12"/>
        <item t="default"/>
      </items>
      <autoSortScope>
        <pivotArea dataOnly="0" outline="0" fieldPosition="0">
          <references count="1">
            <reference field="4294967294" count="1" selected="0">
              <x v="0"/>
            </reference>
          </references>
        </pivotArea>
      </autoSortScope>
    </pivotField>
    <pivotField axis="axisRow" showAll="0">
      <items count="188">
        <item x="12"/>
        <item x="137"/>
        <item x="71"/>
        <item x="9"/>
        <item x="181"/>
        <item x="84"/>
        <item x="87"/>
        <item x="97"/>
        <item x="91"/>
        <item x="166"/>
        <item x="117"/>
        <item x="52"/>
        <item x="34"/>
        <item x="169"/>
        <item x="106"/>
        <item x="75"/>
        <item x="41"/>
        <item x="44"/>
        <item x="46"/>
        <item x="76"/>
        <item x="56"/>
        <item x="45"/>
        <item x="35"/>
        <item x="17"/>
        <item x="53"/>
        <item x="36"/>
        <item x="168"/>
        <item x="48"/>
        <item x="111"/>
        <item x="27"/>
        <item x="147"/>
        <item x="112"/>
        <item x="85"/>
        <item x="43"/>
        <item x="4"/>
        <item x="81"/>
        <item x="156"/>
        <item x="109"/>
        <item x="0"/>
        <item x="14"/>
        <item x="95"/>
        <item x="123"/>
        <item x="183"/>
        <item x="165"/>
        <item x="51"/>
        <item x="132"/>
        <item x="167"/>
        <item x="175"/>
        <item x="82"/>
        <item x="172"/>
        <item x="89"/>
        <item x="61"/>
        <item x="139"/>
        <item x="163"/>
        <item x="31"/>
        <item x="16"/>
        <item x="185"/>
        <item x="7"/>
        <item x="40"/>
        <item x="38"/>
        <item x="142"/>
        <item x="1"/>
        <item x="80"/>
        <item x="94"/>
        <item x="77"/>
        <item x="134"/>
        <item x="15"/>
        <item x="128"/>
        <item x="151"/>
        <item x="20"/>
        <item x="74"/>
        <item x="161"/>
        <item x="92"/>
        <item x="58"/>
        <item x="47"/>
        <item x="143"/>
        <item x="99"/>
        <item x="162"/>
        <item x="179"/>
        <item x="105"/>
        <item x="108"/>
        <item x="186"/>
        <item x="157"/>
        <item x="184"/>
        <item x="21"/>
        <item x="101"/>
        <item x="83"/>
        <item x="79"/>
        <item x="153"/>
        <item x="138"/>
        <item x="23"/>
        <item x="122"/>
        <item x="42"/>
        <item x="164"/>
        <item x="19"/>
        <item x="171"/>
        <item x="67"/>
        <item x="70"/>
        <item x="68"/>
        <item x="93"/>
        <item x="86"/>
        <item x="129"/>
        <item x="174"/>
        <item x="152"/>
        <item x="50"/>
        <item x="149"/>
        <item x="173"/>
        <item x="170"/>
        <item x="98"/>
        <item x="62"/>
        <item x="63"/>
        <item x="90"/>
        <item x="133"/>
        <item x="131"/>
        <item x="130"/>
        <item x="160"/>
        <item x="159"/>
        <item x="65"/>
        <item x="178"/>
        <item x="33"/>
        <item x="127"/>
        <item x="116"/>
        <item x="102"/>
        <item x="110"/>
        <item x="158"/>
        <item x="66"/>
        <item x="13"/>
        <item x="150"/>
        <item x="182"/>
        <item x="176"/>
        <item x="59"/>
        <item x="154"/>
        <item x="64"/>
        <item x="10"/>
        <item x="73"/>
        <item x="100"/>
        <item x="120"/>
        <item x="113"/>
        <item x="96"/>
        <item x="37"/>
        <item x="5"/>
        <item x="49"/>
        <item x="144"/>
        <item x="121"/>
        <item x="140"/>
        <item x="141"/>
        <item x="126"/>
        <item x="114"/>
        <item x="103"/>
        <item x="124"/>
        <item x="125"/>
        <item x="115"/>
        <item x="54"/>
        <item x="145"/>
        <item x="8"/>
        <item x="25"/>
        <item x="6"/>
        <item x="22"/>
        <item x="28"/>
        <item x="118"/>
        <item x="3"/>
        <item x="24"/>
        <item x="39"/>
        <item x="135"/>
        <item x="104"/>
        <item x="26"/>
        <item x="18"/>
        <item x="136"/>
        <item x="148"/>
        <item x="30"/>
        <item x="119"/>
        <item x="155"/>
        <item x="72"/>
        <item x="146"/>
        <item x="78"/>
        <item x="57"/>
        <item x="2"/>
        <item x="180"/>
        <item x="60"/>
        <item x="177"/>
        <item x="107"/>
        <item x="69"/>
        <item x="32"/>
        <item x="29"/>
        <item x="11"/>
        <item x="55"/>
        <item x="88"/>
        <item t="default"/>
      </items>
    </pivotField>
    <pivotField dataField="1" showAll="0"/>
    <pivotField showAll="0"/>
    <pivotField showAll="0"/>
    <pivotField showAll="0"/>
    <pivotField showAll="0"/>
    <pivotField showAll="0"/>
    <pivotField showAll="0"/>
    <pivotField showAll="0"/>
    <pivotField showAll="0">
      <items count="8">
        <item x="3"/>
        <item x="4"/>
        <item x="0"/>
        <item x="1"/>
        <item x="5"/>
        <item x="6"/>
        <item x="2"/>
        <item t="default"/>
      </items>
    </pivotField>
  </pivotFields>
  <rowFields count="2">
    <field x="0"/>
    <field x="1"/>
  </rowFields>
  <rowItems count="20">
    <i>
      <x v="153"/>
    </i>
    <i r="1">
      <x v="38"/>
    </i>
    <i>
      <x v="123"/>
    </i>
    <i r="1">
      <x v="61"/>
    </i>
    <i>
      <x v="151"/>
    </i>
    <i r="1">
      <x v="34"/>
    </i>
    <i>
      <x v="43"/>
    </i>
    <i>
      <x v="3"/>
    </i>
    <i r="1">
      <x v="184"/>
    </i>
    <i>
      <x v="180"/>
    </i>
    <i r="1">
      <x v="7"/>
    </i>
    <i>
      <x v="25"/>
    </i>
    <i r="1">
      <x v="152"/>
    </i>
    <i>
      <x v="149"/>
    </i>
    <i r="1">
      <x v="20"/>
    </i>
    <i>
      <x v="35"/>
    </i>
    <i r="1">
      <x v="145"/>
    </i>
    <i>
      <x v="129"/>
    </i>
    <i r="1">
      <x v="55"/>
    </i>
    <i t="grand">
      <x/>
    </i>
  </rowItems>
  <colItems count="1">
    <i/>
  </colItems>
  <dataFields count="1">
    <dataField name="Sum of Price (USD)" fld="2" baseField="0" baseItem="0"/>
  </dataField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441122-479C-4C8F-88D2-2E0206C9C8DE}" autoFormatId="16" applyNumberFormats="0" applyBorderFormats="0" applyFontFormats="0" applyPatternFormats="0" applyAlignmentFormats="0" applyWidthHeightFormats="0">
  <queryTableRefresh nextId="14" unboundColumnsRight="3">
    <queryTableFields count="11">
      <queryTableField id="1" name="Coin Name" tableColumnId="1"/>
      <queryTableField id="2" name="Symbol" tableColumnId="2"/>
      <queryTableField id="3" name="Price (USD)" tableColumnId="3"/>
      <queryTableField id="4" name="1h Change (%)" tableColumnId="4"/>
      <queryTableField id="5" name="Market Cap" tableColumnId="5"/>
      <queryTableField id="6" name="Volume (24h) USD" tableColumnId="6"/>
      <queryTableField id="7" name="Circulating Supply" tableColumnId="7"/>
      <queryTableField id="8" name="Circulating_Supply($)" tableColumnId="8"/>
      <queryTableField id="10" dataBound="0" tableColumnId="10"/>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9E647682-D7E9-443F-BE46-97D2BC43DC7C}" sourceName="Price Range">
  <pivotTables>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5" name="PivotTable14"/>
  </pivotTables>
  <data>
    <tabular pivotCacheId="425808610">
      <items count="7">
        <i x="3" s="1"/>
        <i x="4" s="1"/>
        <i x="0" s="1"/>
        <i x="1" s="1"/>
        <i x="5"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976BE761-B850-4741-9BF9-A12E9D744799}" cache="Slicer_Price_Range" caption="Price Ran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1" xr10:uid="{DD8DAB3F-D0ED-4C46-94FC-1C0BA84352CF}" cache="Slicer_Price_Range" caption="Price Rang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46F94C-798E-481A-AD67-4EEF531176C5}" name="Table2" displayName="Table2" ref="A1:G201" totalsRowShown="0" headerRowDxfId="8" headerRowBorderDxfId="7" tableBorderDxfId="6">
  <autoFilter ref="A1:G201" xr:uid="{0946F94C-798E-481A-AD67-4EEF531176C5}"/>
  <tableColumns count="7">
    <tableColumn id="1" xr3:uid="{6BB09440-E251-4CB5-A9F2-460975A8837A}" name="Coin Name"/>
    <tableColumn id="2" xr3:uid="{5F8413FE-D8F8-4425-81D6-7A9EB9A7D5F8}" name="Symbol"/>
    <tableColumn id="3" xr3:uid="{D0CD0720-4594-447D-86DF-C5778C3734CB}" name="Price (USD)"/>
    <tableColumn id="4" xr3:uid="{54E34F92-334D-4FB0-B0E3-F5F77F26E65D}" name="1h Change (%)"/>
    <tableColumn id="5" xr3:uid="{3A4542A1-7FB4-47CF-BBCF-C298DC7F3BAF}" name="Market Cap"/>
    <tableColumn id="6" xr3:uid="{2B1992F5-A18E-4CA1-B5A8-D42C8C7ED5D4}" name="Volume (24h) USD"/>
    <tableColumn id="7" xr3:uid="{BC2B6151-352D-4F2C-B59B-7A140BA4D001}" name="Circulating Suppl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86945A-DCCB-497F-9655-2159BA01C392}" name="Cleaned_Data" displayName="Cleaned_Data" ref="A1:K188" tableType="queryTable" totalsRowShown="0">
  <autoFilter ref="A1:K188" xr:uid="{3186945A-DCCB-497F-9655-2159BA01C392}"/>
  <tableColumns count="11">
    <tableColumn id="1" xr3:uid="{F6F32B3E-96DE-4D45-BFB9-C424DA42ED06}" uniqueName="1" name="Coin Name" queryTableFieldId="1" dataDxfId="5"/>
    <tableColumn id="2" xr3:uid="{5C0A56C0-E8F2-4F2E-8E5E-A39B54C81E7C}" uniqueName="2" name="Symbol" queryTableFieldId="2" dataDxfId="4"/>
    <tableColumn id="3" xr3:uid="{2E3579BB-C316-4B97-BFD8-CF4BFB3913CB}" uniqueName="3" name="Price (USD)" queryTableFieldId="3"/>
    <tableColumn id="4" xr3:uid="{048BE3D8-1D3E-443B-AD58-4E303B9155F2}" uniqueName="4" name="1h Change (%)" queryTableFieldId="4"/>
    <tableColumn id="5" xr3:uid="{34F6A5F6-6D41-4776-A399-8A352F7AC980}" uniqueName="5" name="Market Cap" queryTableFieldId="5"/>
    <tableColumn id="6" xr3:uid="{33B484B7-3A1A-472B-9D48-A54271036629}" uniqueName="6" name="Volume (24h) USD" queryTableFieldId="6"/>
    <tableColumn id="7" xr3:uid="{F26CA8CD-3047-4960-B029-3D432C384A15}" uniqueName="7" name="Circulating Supply" queryTableFieldId="7" dataDxfId="3"/>
    <tableColumn id="8" xr3:uid="{B3FCFE3B-F8E6-435D-8ECF-3DEEB106262A}" uniqueName="8" name="Circulating_Supply($)" queryTableFieldId="8"/>
    <tableColumn id="10" xr3:uid="{084A0902-E658-46E2-8848-8302963A8EF9}" uniqueName="10" name="DollarVolume per Supply" queryTableFieldId="10" dataDxfId="2">
      <calculatedColumnFormula>Cleaned_Data[[#This Row],[Volume (24h) USD]]/Cleaned_Data[[#This Row],[Circulating_Supply($)]]</calculatedColumnFormula>
    </tableColumn>
    <tableColumn id="12" xr3:uid="{FC4D50A8-11F7-41E9-841F-835DFF6A937C}" uniqueName="12" name="Rank" queryTableFieldId="12" dataDxfId="1">
      <calculatedColumnFormula>RANK(Cleaned_Data[[#This Row],[Market Cap]],Cleaned_Data[Market Cap],0)</calculatedColumnFormula>
    </tableColumn>
    <tableColumn id="13" xr3:uid="{FC62B195-742D-42FF-BA78-AAA68390159D}" uniqueName="13" name="Price Range" queryTableFieldId="13" dataDxfId="0">
      <calculatedColumnFormula>IF(C2&lt;=0.5,"0-0.5",
 IF(C2&lt;=1,"0.5-1",
  IF(C2&lt;=2,"1-2",
   IF(C2&lt;=10,"2-10",
    IF(C2&lt;=100,"10-100",
     IF(C2&lt;=10000,"100-10000",
      "10000+"))))))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workbookViewId="0">
      <pane ySplit="1" topLeftCell="A2" activePane="bottomLeft" state="frozen"/>
      <selection pane="bottomLeft" sqref="A1:G201"/>
    </sheetView>
  </sheetViews>
  <sheetFormatPr defaultRowHeight="14.5" x14ac:dyDescent="0.35"/>
  <cols>
    <col min="1" max="1" width="32.08984375" bestFit="1" customWidth="1"/>
    <col min="2" max="2" width="11.1796875" bestFit="1" customWidth="1"/>
    <col min="3" max="3" width="12.08984375" customWidth="1"/>
    <col min="4" max="4" width="14.7265625" customWidth="1"/>
    <col min="5" max="5" width="16.7265625" bestFit="1" customWidth="1"/>
    <col min="6" max="6" width="18" customWidth="1"/>
    <col min="7" max="7" width="17.6328125" customWidth="1"/>
  </cols>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19</v>
      </c>
      <c r="G3" t="s">
        <v>20</v>
      </c>
    </row>
    <row r="4" spans="1:7" x14ac:dyDescent="0.35">
      <c r="A4" t="s">
        <v>21</v>
      </c>
      <c r="B4" t="s">
        <v>21</v>
      </c>
      <c r="C4" t="s">
        <v>22</v>
      </c>
      <c r="D4" t="s">
        <v>23</v>
      </c>
      <c r="E4" t="s">
        <v>24</v>
      </c>
      <c r="F4" t="s">
        <v>25</v>
      </c>
      <c r="G4" t="s">
        <v>26</v>
      </c>
    </row>
    <row r="5" spans="1:7" x14ac:dyDescent="0.35">
      <c r="A5" t="s">
        <v>27</v>
      </c>
      <c r="B5" t="s">
        <v>28</v>
      </c>
      <c r="C5" t="s">
        <v>29</v>
      </c>
      <c r="D5" t="s">
        <v>30</v>
      </c>
      <c r="E5" t="s">
        <v>31</v>
      </c>
      <c r="F5" t="s">
        <v>32</v>
      </c>
      <c r="G5" t="s">
        <v>33</v>
      </c>
    </row>
    <row r="6" spans="1:7" x14ac:dyDescent="0.35">
      <c r="A6" t="s">
        <v>34</v>
      </c>
      <c r="B6" t="s">
        <v>34</v>
      </c>
      <c r="C6" t="s">
        <v>35</v>
      </c>
      <c r="D6" t="s">
        <v>36</v>
      </c>
      <c r="E6" t="s">
        <v>37</v>
      </c>
      <c r="F6" t="s">
        <v>38</v>
      </c>
      <c r="G6" t="s">
        <v>39</v>
      </c>
    </row>
    <row r="7" spans="1:7" x14ac:dyDescent="0.35">
      <c r="A7" t="s">
        <v>40</v>
      </c>
      <c r="B7" t="s">
        <v>41</v>
      </c>
      <c r="C7" t="s">
        <v>42</v>
      </c>
      <c r="D7" t="s">
        <v>43</v>
      </c>
      <c r="E7" t="s">
        <v>44</v>
      </c>
      <c r="F7" t="s">
        <v>45</v>
      </c>
      <c r="G7" t="s">
        <v>46</v>
      </c>
    </row>
    <row r="8" spans="1:7" x14ac:dyDescent="0.35">
      <c r="A8" t="s">
        <v>47</v>
      </c>
      <c r="B8" t="s">
        <v>47</v>
      </c>
      <c r="C8" t="s">
        <v>48</v>
      </c>
      <c r="D8" t="s">
        <v>49</v>
      </c>
      <c r="E8" t="s">
        <v>50</v>
      </c>
      <c r="F8" t="s">
        <v>51</v>
      </c>
      <c r="G8" t="s">
        <v>52</v>
      </c>
    </row>
    <row r="9" spans="1:7" x14ac:dyDescent="0.35">
      <c r="A9" t="s">
        <v>53</v>
      </c>
      <c r="B9" t="s">
        <v>54</v>
      </c>
      <c r="C9" t="s">
        <v>55</v>
      </c>
      <c r="D9" t="s">
        <v>56</v>
      </c>
      <c r="E9" t="s">
        <v>57</v>
      </c>
      <c r="F9" t="s">
        <v>58</v>
      </c>
      <c r="G9" t="s">
        <v>59</v>
      </c>
    </row>
    <row r="10" spans="1:7" x14ac:dyDescent="0.35">
      <c r="A10" t="s">
        <v>60</v>
      </c>
      <c r="B10" t="s">
        <v>61</v>
      </c>
      <c r="C10" t="s">
        <v>62</v>
      </c>
      <c r="D10" t="s">
        <v>63</v>
      </c>
      <c r="E10" t="s">
        <v>64</v>
      </c>
      <c r="F10" t="s">
        <v>65</v>
      </c>
      <c r="G10" t="s">
        <v>66</v>
      </c>
    </row>
    <row r="11" spans="1:7" x14ac:dyDescent="0.35">
      <c r="A11" t="s">
        <v>67</v>
      </c>
      <c r="B11" t="s">
        <v>68</v>
      </c>
      <c r="C11" t="s">
        <v>69</v>
      </c>
      <c r="D11" t="s">
        <v>70</v>
      </c>
      <c r="E11" t="s">
        <v>71</v>
      </c>
      <c r="F11" t="s">
        <v>72</v>
      </c>
      <c r="G11" t="s">
        <v>73</v>
      </c>
    </row>
    <row r="12" spans="1:7" x14ac:dyDescent="0.35">
      <c r="A12" t="s">
        <v>74</v>
      </c>
      <c r="B12" t="s">
        <v>75</v>
      </c>
      <c r="C12" t="s">
        <v>76</v>
      </c>
      <c r="D12" t="s">
        <v>77</v>
      </c>
      <c r="E12" t="s">
        <v>78</v>
      </c>
      <c r="F12" t="s">
        <v>79</v>
      </c>
      <c r="G12" t="s">
        <v>80</v>
      </c>
    </row>
    <row r="13" spans="1:7" x14ac:dyDescent="0.35">
      <c r="A13" t="s">
        <v>81</v>
      </c>
      <c r="B13" t="s">
        <v>82</v>
      </c>
      <c r="C13" t="s">
        <v>83</v>
      </c>
      <c r="D13" t="s">
        <v>84</v>
      </c>
      <c r="E13" t="s">
        <v>85</v>
      </c>
      <c r="F13" t="s">
        <v>86</v>
      </c>
      <c r="G13" t="s">
        <v>87</v>
      </c>
    </row>
    <row r="14" spans="1:7" x14ac:dyDescent="0.35">
      <c r="A14" t="s">
        <v>88</v>
      </c>
      <c r="B14" t="s">
        <v>88</v>
      </c>
      <c r="C14" t="s">
        <v>89</v>
      </c>
      <c r="D14" t="s">
        <v>90</v>
      </c>
      <c r="E14" t="s">
        <v>91</v>
      </c>
      <c r="F14" t="s">
        <v>92</v>
      </c>
      <c r="G14" t="s">
        <v>93</v>
      </c>
    </row>
    <row r="15" spans="1:7" x14ac:dyDescent="0.35">
      <c r="A15" t="s">
        <v>94</v>
      </c>
      <c r="B15" t="s">
        <v>95</v>
      </c>
      <c r="C15" t="s">
        <v>96</v>
      </c>
      <c r="D15" t="s">
        <v>97</v>
      </c>
      <c r="E15" t="s">
        <v>98</v>
      </c>
      <c r="F15" t="s">
        <v>99</v>
      </c>
      <c r="G15" t="s">
        <v>100</v>
      </c>
    </row>
    <row r="16" spans="1:7" x14ac:dyDescent="0.35">
      <c r="A16" t="s">
        <v>101</v>
      </c>
      <c r="B16" t="s">
        <v>102</v>
      </c>
      <c r="C16" t="s">
        <v>103</v>
      </c>
      <c r="D16" t="s">
        <v>49</v>
      </c>
      <c r="E16" t="s">
        <v>104</v>
      </c>
      <c r="F16" t="s">
        <v>105</v>
      </c>
      <c r="G16" t="s">
        <v>106</v>
      </c>
    </row>
    <row r="17" spans="1:7" x14ac:dyDescent="0.35">
      <c r="A17" t="s">
        <v>107</v>
      </c>
      <c r="B17" t="s">
        <v>108</v>
      </c>
      <c r="C17" t="s">
        <v>109</v>
      </c>
      <c r="D17" t="s">
        <v>110</v>
      </c>
      <c r="E17" t="s">
        <v>111</v>
      </c>
      <c r="F17" t="s">
        <v>112</v>
      </c>
      <c r="G17" t="s">
        <v>113</v>
      </c>
    </row>
    <row r="18" spans="1:7" x14ac:dyDescent="0.35">
      <c r="A18" t="s">
        <v>114</v>
      </c>
      <c r="B18" t="s">
        <v>115</v>
      </c>
      <c r="C18" t="s">
        <v>116</v>
      </c>
      <c r="D18" t="s">
        <v>90</v>
      </c>
      <c r="E18" t="s">
        <v>117</v>
      </c>
      <c r="F18" t="s">
        <v>118</v>
      </c>
      <c r="G18" t="s">
        <v>119</v>
      </c>
    </row>
    <row r="19" spans="1:7" x14ac:dyDescent="0.35">
      <c r="A19" t="s">
        <v>120</v>
      </c>
      <c r="B19" t="s">
        <v>121</v>
      </c>
      <c r="C19" t="s">
        <v>122</v>
      </c>
      <c r="D19" t="s">
        <v>123</v>
      </c>
      <c r="E19" t="s">
        <v>124</v>
      </c>
      <c r="F19" t="s">
        <v>125</v>
      </c>
      <c r="G19" t="s">
        <v>126</v>
      </c>
    </row>
    <row r="20" spans="1:7" x14ac:dyDescent="0.35">
      <c r="A20" t="s">
        <v>127</v>
      </c>
      <c r="B20" t="s">
        <v>128</v>
      </c>
      <c r="C20" t="s">
        <v>129</v>
      </c>
      <c r="D20" t="s">
        <v>130</v>
      </c>
      <c r="E20" t="s">
        <v>131</v>
      </c>
      <c r="F20" t="s">
        <v>132</v>
      </c>
      <c r="G20" t="s">
        <v>133</v>
      </c>
    </row>
    <row r="21" spans="1:7" x14ac:dyDescent="0.35">
      <c r="A21" t="s">
        <v>134</v>
      </c>
      <c r="B21" t="s">
        <v>135</v>
      </c>
      <c r="C21" t="s">
        <v>136</v>
      </c>
      <c r="D21" t="s">
        <v>137</v>
      </c>
      <c r="E21" t="s">
        <v>138</v>
      </c>
      <c r="F21" t="s">
        <v>139</v>
      </c>
      <c r="G21" t="s">
        <v>140</v>
      </c>
    </row>
    <row r="22" spans="1:7" x14ac:dyDescent="0.35">
      <c r="A22" t="s">
        <v>141</v>
      </c>
      <c r="B22" t="s">
        <v>142</v>
      </c>
      <c r="C22" t="s">
        <v>143</v>
      </c>
      <c r="D22" t="s">
        <v>144</v>
      </c>
      <c r="E22" t="s">
        <v>145</v>
      </c>
      <c r="F22" t="s">
        <v>146</v>
      </c>
      <c r="G22" t="s">
        <v>147</v>
      </c>
    </row>
    <row r="23" spans="1:7" x14ac:dyDescent="0.35">
      <c r="A23" t="s">
        <v>148</v>
      </c>
      <c r="B23" t="s">
        <v>149</v>
      </c>
      <c r="C23" t="s">
        <v>150</v>
      </c>
      <c r="D23" t="s">
        <v>151</v>
      </c>
      <c r="E23" t="s">
        <v>152</v>
      </c>
      <c r="F23" t="s">
        <v>153</v>
      </c>
      <c r="G23" t="s">
        <v>154</v>
      </c>
    </row>
    <row r="24" spans="1:7" x14ac:dyDescent="0.35">
      <c r="A24" t="s">
        <v>155</v>
      </c>
      <c r="B24" t="s">
        <v>156</v>
      </c>
      <c r="C24" t="s">
        <v>29</v>
      </c>
      <c r="D24" t="s">
        <v>157</v>
      </c>
      <c r="E24" t="s">
        <v>158</v>
      </c>
      <c r="F24" t="s">
        <v>159</v>
      </c>
      <c r="G24" t="s">
        <v>160</v>
      </c>
    </row>
    <row r="25" spans="1:7" x14ac:dyDescent="0.35">
      <c r="A25" t="s">
        <v>161</v>
      </c>
      <c r="B25" t="s">
        <v>162</v>
      </c>
      <c r="C25" t="s">
        <v>163</v>
      </c>
      <c r="D25" t="s">
        <v>164</v>
      </c>
      <c r="E25" t="s">
        <v>165</v>
      </c>
      <c r="F25" t="s">
        <v>166</v>
      </c>
      <c r="G25" t="s">
        <v>167</v>
      </c>
    </row>
    <row r="26" spans="1:7" x14ac:dyDescent="0.35">
      <c r="A26" t="s">
        <v>168</v>
      </c>
      <c r="B26" t="s">
        <v>169</v>
      </c>
      <c r="C26" t="s">
        <v>170</v>
      </c>
      <c r="D26" t="s">
        <v>123</v>
      </c>
      <c r="E26" t="s">
        <v>171</v>
      </c>
      <c r="F26" t="s">
        <v>172</v>
      </c>
      <c r="G26" t="s">
        <v>173</v>
      </c>
    </row>
    <row r="27" spans="1:7" x14ac:dyDescent="0.35">
      <c r="A27" t="s">
        <v>174</v>
      </c>
      <c r="B27" t="s">
        <v>175</v>
      </c>
      <c r="C27" t="s">
        <v>176</v>
      </c>
      <c r="D27" t="s">
        <v>177</v>
      </c>
      <c r="E27" t="s">
        <v>178</v>
      </c>
      <c r="F27" t="s">
        <v>179</v>
      </c>
      <c r="G27" t="s">
        <v>180</v>
      </c>
    </row>
    <row r="28" spans="1:7" x14ac:dyDescent="0.35">
      <c r="A28" t="s">
        <v>181</v>
      </c>
      <c r="B28" t="s">
        <v>182</v>
      </c>
      <c r="C28" t="s">
        <v>183</v>
      </c>
      <c r="D28" t="s">
        <v>184</v>
      </c>
      <c r="E28" t="s">
        <v>185</v>
      </c>
      <c r="F28" t="s">
        <v>186</v>
      </c>
      <c r="G28" t="s">
        <v>187</v>
      </c>
    </row>
    <row r="29" spans="1:7" x14ac:dyDescent="0.35">
      <c r="A29" t="s">
        <v>188</v>
      </c>
      <c r="B29" t="s">
        <v>189</v>
      </c>
      <c r="C29" t="s">
        <v>190</v>
      </c>
      <c r="D29" t="s">
        <v>191</v>
      </c>
      <c r="E29" t="s">
        <v>192</v>
      </c>
      <c r="F29" t="s">
        <v>193</v>
      </c>
      <c r="G29" t="s">
        <v>194</v>
      </c>
    </row>
    <row r="30" spans="1:7" x14ac:dyDescent="0.35">
      <c r="A30" t="s">
        <v>195</v>
      </c>
      <c r="B30" t="s">
        <v>196</v>
      </c>
      <c r="C30" t="s">
        <v>197</v>
      </c>
      <c r="D30" t="s">
        <v>198</v>
      </c>
      <c r="E30" t="s">
        <v>199</v>
      </c>
      <c r="F30" t="s">
        <v>200</v>
      </c>
      <c r="G30" t="s">
        <v>201</v>
      </c>
    </row>
    <row r="31" spans="1:7" x14ac:dyDescent="0.35">
      <c r="A31" t="s">
        <v>202</v>
      </c>
      <c r="B31" t="s">
        <v>203</v>
      </c>
      <c r="C31" t="s">
        <v>204</v>
      </c>
      <c r="D31" t="s">
        <v>205</v>
      </c>
      <c r="E31" t="s">
        <v>206</v>
      </c>
      <c r="F31" t="s">
        <v>207</v>
      </c>
      <c r="G31" t="s">
        <v>208</v>
      </c>
    </row>
    <row r="32" spans="1:7" x14ac:dyDescent="0.35">
      <c r="A32" t="s">
        <v>209</v>
      </c>
      <c r="B32" t="s">
        <v>209</v>
      </c>
      <c r="C32" t="s">
        <v>210</v>
      </c>
      <c r="D32" t="s">
        <v>144</v>
      </c>
      <c r="E32" t="s">
        <v>211</v>
      </c>
      <c r="F32" t="s">
        <v>212</v>
      </c>
      <c r="G32" t="s">
        <v>213</v>
      </c>
    </row>
    <row r="33" spans="1:7" x14ac:dyDescent="0.35">
      <c r="A33" t="s">
        <v>214</v>
      </c>
      <c r="B33" t="s">
        <v>215</v>
      </c>
      <c r="C33" t="s">
        <v>76</v>
      </c>
      <c r="D33" t="s">
        <v>177</v>
      </c>
      <c r="E33" t="s">
        <v>216</v>
      </c>
      <c r="F33" t="s">
        <v>217</v>
      </c>
      <c r="G33" t="s">
        <v>218</v>
      </c>
    </row>
    <row r="34" spans="1:7" x14ac:dyDescent="0.35">
      <c r="A34" t="s">
        <v>219</v>
      </c>
      <c r="B34" t="s">
        <v>220</v>
      </c>
      <c r="C34" t="s">
        <v>221</v>
      </c>
      <c r="D34" t="s">
        <v>157</v>
      </c>
      <c r="E34" t="s">
        <v>222</v>
      </c>
      <c r="F34" t="s">
        <v>223</v>
      </c>
      <c r="G34" t="s">
        <v>224</v>
      </c>
    </row>
    <row r="35" spans="1:7" x14ac:dyDescent="0.35">
      <c r="A35" t="s">
        <v>225</v>
      </c>
      <c r="B35" t="s">
        <v>226</v>
      </c>
      <c r="C35" t="s">
        <v>227</v>
      </c>
      <c r="D35" t="s">
        <v>17</v>
      </c>
      <c r="E35" t="s">
        <v>228</v>
      </c>
      <c r="F35" t="s">
        <v>229</v>
      </c>
      <c r="G35" t="s">
        <v>230</v>
      </c>
    </row>
    <row r="36" spans="1:7" x14ac:dyDescent="0.35">
      <c r="A36" t="s">
        <v>231</v>
      </c>
      <c r="B36" t="s">
        <v>232</v>
      </c>
      <c r="C36" t="s">
        <v>233</v>
      </c>
      <c r="D36" t="s">
        <v>234</v>
      </c>
      <c r="E36" t="s">
        <v>235</v>
      </c>
      <c r="F36" t="s">
        <v>236</v>
      </c>
      <c r="G36" t="s">
        <v>237</v>
      </c>
    </row>
    <row r="37" spans="1:7" x14ac:dyDescent="0.35">
      <c r="A37" t="s">
        <v>238</v>
      </c>
      <c r="B37" t="s">
        <v>238</v>
      </c>
      <c r="C37" t="s">
        <v>48</v>
      </c>
      <c r="D37" t="s">
        <v>77</v>
      </c>
      <c r="E37" t="s">
        <v>239</v>
      </c>
      <c r="F37" t="s">
        <v>240</v>
      </c>
      <c r="G37" t="s">
        <v>241</v>
      </c>
    </row>
    <row r="38" spans="1:7" x14ac:dyDescent="0.35">
      <c r="A38" t="s">
        <v>242</v>
      </c>
      <c r="B38" t="s">
        <v>243</v>
      </c>
      <c r="C38" t="s">
        <v>244</v>
      </c>
      <c r="D38" t="s">
        <v>245</v>
      </c>
      <c r="E38" t="s">
        <v>246</v>
      </c>
      <c r="F38" t="s">
        <v>247</v>
      </c>
      <c r="G38" t="s">
        <v>248</v>
      </c>
    </row>
    <row r="39" spans="1:7" x14ac:dyDescent="0.35">
      <c r="A39" t="s">
        <v>249</v>
      </c>
      <c r="B39" t="s">
        <v>250</v>
      </c>
      <c r="C39" t="s">
        <v>251</v>
      </c>
      <c r="D39" t="s">
        <v>252</v>
      </c>
      <c r="E39" t="s">
        <v>253</v>
      </c>
      <c r="F39" t="s">
        <v>254</v>
      </c>
      <c r="G39" t="s">
        <v>255</v>
      </c>
    </row>
    <row r="40" spans="1:7" x14ac:dyDescent="0.35">
      <c r="A40" t="s">
        <v>256</v>
      </c>
      <c r="B40" t="s">
        <v>257</v>
      </c>
      <c r="C40" t="s">
        <v>258</v>
      </c>
      <c r="D40" t="s">
        <v>17</v>
      </c>
      <c r="E40" t="s">
        <v>259</v>
      </c>
      <c r="F40" t="s">
        <v>260</v>
      </c>
      <c r="G40" t="s">
        <v>261</v>
      </c>
    </row>
    <row r="41" spans="1:7" x14ac:dyDescent="0.35">
      <c r="A41" t="s">
        <v>262</v>
      </c>
      <c r="B41" t="s">
        <v>263</v>
      </c>
      <c r="C41" t="s">
        <v>264</v>
      </c>
      <c r="D41" t="s">
        <v>265</v>
      </c>
      <c r="E41" t="s">
        <v>266</v>
      </c>
      <c r="F41" t="s">
        <v>267</v>
      </c>
      <c r="G41" t="s">
        <v>268</v>
      </c>
    </row>
    <row r="42" spans="1:7" x14ac:dyDescent="0.35">
      <c r="A42" t="s">
        <v>269</v>
      </c>
      <c r="B42" t="s">
        <v>270</v>
      </c>
      <c r="C42" t="s">
        <v>271</v>
      </c>
      <c r="D42" t="s">
        <v>272</v>
      </c>
      <c r="E42" t="s">
        <v>273</v>
      </c>
      <c r="F42" t="s">
        <v>274</v>
      </c>
      <c r="G42" t="s">
        <v>275</v>
      </c>
    </row>
    <row r="43" spans="1:7" x14ac:dyDescent="0.35">
      <c r="A43" t="s">
        <v>276</v>
      </c>
      <c r="B43" t="s">
        <v>277</v>
      </c>
      <c r="C43" t="s">
        <v>278</v>
      </c>
      <c r="D43" t="s">
        <v>63</v>
      </c>
      <c r="E43" t="s">
        <v>279</v>
      </c>
      <c r="F43" t="s">
        <v>280</v>
      </c>
      <c r="G43" t="s">
        <v>281</v>
      </c>
    </row>
    <row r="44" spans="1:7" x14ac:dyDescent="0.35">
      <c r="A44" t="s">
        <v>282</v>
      </c>
      <c r="B44" t="s">
        <v>283</v>
      </c>
      <c r="C44" t="s">
        <v>284</v>
      </c>
      <c r="D44" t="s">
        <v>177</v>
      </c>
      <c r="E44" t="s">
        <v>285</v>
      </c>
      <c r="F44" t="s">
        <v>286</v>
      </c>
      <c r="G44" t="s">
        <v>287</v>
      </c>
    </row>
    <row r="45" spans="1:7" x14ac:dyDescent="0.35">
      <c r="A45" t="s">
        <v>288</v>
      </c>
      <c r="B45" t="s">
        <v>288</v>
      </c>
      <c r="C45" t="s">
        <v>289</v>
      </c>
      <c r="D45" t="s">
        <v>290</v>
      </c>
      <c r="E45" t="s">
        <v>291</v>
      </c>
      <c r="F45" t="s">
        <v>292</v>
      </c>
      <c r="G45" t="s">
        <v>293</v>
      </c>
    </row>
    <row r="46" spans="1:7" x14ac:dyDescent="0.35">
      <c r="A46" t="s">
        <v>294</v>
      </c>
      <c r="B46" t="s">
        <v>295</v>
      </c>
      <c r="C46" t="s">
        <v>296</v>
      </c>
      <c r="D46" t="s">
        <v>157</v>
      </c>
      <c r="E46" t="s">
        <v>297</v>
      </c>
      <c r="F46" t="s">
        <v>298</v>
      </c>
      <c r="G46" t="s">
        <v>299</v>
      </c>
    </row>
    <row r="47" spans="1:7" x14ac:dyDescent="0.35">
      <c r="A47" t="s">
        <v>300</v>
      </c>
      <c r="B47" t="s">
        <v>301</v>
      </c>
      <c r="C47" t="s">
        <v>302</v>
      </c>
      <c r="D47" t="s">
        <v>265</v>
      </c>
      <c r="E47" t="s">
        <v>303</v>
      </c>
      <c r="F47" t="s">
        <v>304</v>
      </c>
      <c r="G47" t="s">
        <v>305</v>
      </c>
    </row>
    <row r="48" spans="1:7" x14ac:dyDescent="0.35">
      <c r="A48" t="s">
        <v>306</v>
      </c>
      <c r="B48" t="s">
        <v>307</v>
      </c>
      <c r="C48" t="s">
        <v>308</v>
      </c>
      <c r="D48" t="s">
        <v>97</v>
      </c>
      <c r="E48" t="s">
        <v>309</v>
      </c>
      <c r="F48" t="s">
        <v>310</v>
      </c>
      <c r="G48" t="s">
        <v>311</v>
      </c>
    </row>
    <row r="49" spans="1:7" x14ac:dyDescent="0.35">
      <c r="A49" t="s">
        <v>312</v>
      </c>
      <c r="B49" t="s">
        <v>313</v>
      </c>
      <c r="C49" t="s">
        <v>314</v>
      </c>
      <c r="D49" t="s">
        <v>315</v>
      </c>
      <c r="E49" t="s">
        <v>316</v>
      </c>
      <c r="F49" t="s">
        <v>317</v>
      </c>
      <c r="G49" t="s">
        <v>318</v>
      </c>
    </row>
    <row r="50" spans="1:7" x14ac:dyDescent="0.35">
      <c r="A50" t="s">
        <v>319</v>
      </c>
      <c r="B50" t="s">
        <v>320</v>
      </c>
      <c r="C50" t="s">
        <v>321</v>
      </c>
      <c r="D50" t="s">
        <v>322</v>
      </c>
      <c r="E50" t="s">
        <v>323</v>
      </c>
      <c r="F50" t="s">
        <v>324</v>
      </c>
      <c r="G50" t="s">
        <v>325</v>
      </c>
    </row>
    <row r="51" spans="1:7" x14ac:dyDescent="0.35">
      <c r="A51" t="s">
        <v>326</v>
      </c>
      <c r="B51" t="s">
        <v>327</v>
      </c>
      <c r="C51" t="s">
        <v>328</v>
      </c>
      <c r="D51" t="s">
        <v>177</v>
      </c>
      <c r="E51" t="s">
        <v>329</v>
      </c>
      <c r="F51" t="s">
        <v>330</v>
      </c>
      <c r="G51" t="s">
        <v>331</v>
      </c>
    </row>
    <row r="52" spans="1:7" x14ac:dyDescent="0.35">
      <c r="A52" t="s">
        <v>332</v>
      </c>
      <c r="B52" t="s">
        <v>333</v>
      </c>
      <c r="C52" t="s">
        <v>334</v>
      </c>
      <c r="D52" t="s">
        <v>335</v>
      </c>
      <c r="E52" t="s">
        <v>336</v>
      </c>
      <c r="F52" t="s">
        <v>337</v>
      </c>
      <c r="G52" t="s">
        <v>338</v>
      </c>
    </row>
    <row r="53" spans="1:7" x14ac:dyDescent="0.35">
      <c r="A53" t="s">
        <v>339</v>
      </c>
      <c r="B53" t="s">
        <v>340</v>
      </c>
      <c r="C53" t="s">
        <v>341</v>
      </c>
      <c r="D53" t="s">
        <v>342</v>
      </c>
      <c r="E53" t="s">
        <v>343</v>
      </c>
      <c r="F53" t="s">
        <v>344</v>
      </c>
      <c r="G53" t="s">
        <v>345</v>
      </c>
    </row>
    <row r="54" spans="1:7" x14ac:dyDescent="0.35">
      <c r="A54" t="s">
        <v>346</v>
      </c>
      <c r="B54" t="s">
        <v>347</v>
      </c>
      <c r="C54" t="s">
        <v>348</v>
      </c>
      <c r="D54" t="s">
        <v>97</v>
      </c>
      <c r="E54" t="s">
        <v>349</v>
      </c>
      <c r="F54" t="s">
        <v>350</v>
      </c>
      <c r="G54" t="s">
        <v>351</v>
      </c>
    </row>
    <row r="55" spans="1:7" x14ac:dyDescent="0.35">
      <c r="A55" t="s">
        <v>352</v>
      </c>
      <c r="B55" t="s">
        <v>353</v>
      </c>
      <c r="C55" t="s">
        <v>354</v>
      </c>
      <c r="D55" t="s">
        <v>30</v>
      </c>
      <c r="E55" t="s">
        <v>355</v>
      </c>
      <c r="F55" t="s">
        <v>356</v>
      </c>
      <c r="G55" t="s">
        <v>357</v>
      </c>
    </row>
    <row r="56" spans="1:7" x14ac:dyDescent="0.35">
      <c r="A56" t="s">
        <v>358</v>
      </c>
      <c r="B56" t="s">
        <v>359</v>
      </c>
      <c r="C56" t="s">
        <v>360</v>
      </c>
      <c r="D56" t="s">
        <v>361</v>
      </c>
      <c r="E56" t="s">
        <v>362</v>
      </c>
      <c r="F56" t="s">
        <v>363</v>
      </c>
      <c r="G56" t="s">
        <v>364</v>
      </c>
    </row>
    <row r="57" spans="1:7" x14ac:dyDescent="0.35">
      <c r="A57" t="s">
        <v>365</v>
      </c>
      <c r="B57" t="s">
        <v>366</v>
      </c>
      <c r="C57" t="s">
        <v>367</v>
      </c>
      <c r="D57" t="s">
        <v>36</v>
      </c>
      <c r="E57" t="s">
        <v>368</v>
      </c>
      <c r="F57" t="s">
        <v>369</v>
      </c>
      <c r="G57" t="s">
        <v>370</v>
      </c>
    </row>
    <row r="58" spans="1:7" x14ac:dyDescent="0.35">
      <c r="A58" t="s">
        <v>371</v>
      </c>
      <c r="B58" t="s">
        <v>372</v>
      </c>
      <c r="C58" t="s">
        <v>373</v>
      </c>
      <c r="D58" t="s">
        <v>374</v>
      </c>
      <c r="E58" t="s">
        <v>375</v>
      </c>
      <c r="F58" t="s">
        <v>376</v>
      </c>
      <c r="G58" t="s">
        <v>377</v>
      </c>
    </row>
    <row r="59" spans="1:7" x14ac:dyDescent="0.35">
      <c r="A59" t="s">
        <v>378</v>
      </c>
      <c r="B59" t="s">
        <v>379</v>
      </c>
      <c r="C59" t="s">
        <v>380</v>
      </c>
      <c r="D59" t="s">
        <v>374</v>
      </c>
      <c r="E59" t="s">
        <v>381</v>
      </c>
      <c r="F59" t="s">
        <v>382</v>
      </c>
      <c r="G59" t="s">
        <v>383</v>
      </c>
    </row>
    <row r="60" spans="1:7" x14ac:dyDescent="0.35">
      <c r="A60" t="s">
        <v>384</v>
      </c>
      <c r="B60" t="s">
        <v>385</v>
      </c>
      <c r="C60" t="s">
        <v>386</v>
      </c>
      <c r="D60" t="s">
        <v>387</v>
      </c>
      <c r="E60" t="s">
        <v>388</v>
      </c>
      <c r="F60" t="s">
        <v>389</v>
      </c>
      <c r="G60" t="s">
        <v>390</v>
      </c>
    </row>
    <row r="61" spans="1:7" x14ac:dyDescent="0.35">
      <c r="A61" t="s">
        <v>391</v>
      </c>
      <c r="B61" t="s">
        <v>392</v>
      </c>
      <c r="C61" t="s">
        <v>393</v>
      </c>
      <c r="D61" t="s">
        <v>394</v>
      </c>
      <c r="E61" t="s">
        <v>395</v>
      </c>
      <c r="F61" t="s">
        <v>396</v>
      </c>
      <c r="G61" t="s">
        <v>397</v>
      </c>
    </row>
    <row r="62" spans="1:7" x14ac:dyDescent="0.35">
      <c r="A62" t="s">
        <v>398</v>
      </c>
      <c r="B62" t="s">
        <v>399</v>
      </c>
      <c r="C62" t="s">
        <v>400</v>
      </c>
      <c r="D62" t="s">
        <v>401</v>
      </c>
      <c r="E62" t="s">
        <v>402</v>
      </c>
      <c r="F62" t="s">
        <v>403</v>
      </c>
      <c r="G62" t="s">
        <v>404</v>
      </c>
    </row>
    <row r="63" spans="1:7" x14ac:dyDescent="0.35">
      <c r="A63" t="s">
        <v>1</v>
      </c>
      <c r="B63" t="s">
        <v>405</v>
      </c>
      <c r="C63" t="s">
        <v>406</v>
      </c>
      <c r="D63" t="s">
        <v>177</v>
      </c>
      <c r="E63" t="s">
        <v>407</v>
      </c>
      <c r="F63" t="s">
        <v>408</v>
      </c>
      <c r="G63" t="s">
        <v>409</v>
      </c>
    </row>
    <row r="64" spans="1:7" x14ac:dyDescent="0.35">
      <c r="A64" t="s">
        <v>410</v>
      </c>
      <c r="B64" t="s">
        <v>411</v>
      </c>
      <c r="C64" t="s">
        <v>412</v>
      </c>
      <c r="D64" t="s">
        <v>205</v>
      </c>
      <c r="E64" t="s">
        <v>413</v>
      </c>
      <c r="F64" t="s">
        <v>414</v>
      </c>
      <c r="G64" t="s">
        <v>415</v>
      </c>
    </row>
    <row r="65" spans="1:7" x14ac:dyDescent="0.35">
      <c r="A65" t="s">
        <v>416</v>
      </c>
      <c r="B65" t="s">
        <v>417</v>
      </c>
      <c r="C65" t="s">
        <v>418</v>
      </c>
      <c r="D65" t="s">
        <v>419</v>
      </c>
      <c r="E65" t="s">
        <v>420</v>
      </c>
      <c r="F65" t="s">
        <v>421</v>
      </c>
      <c r="G65" t="s">
        <v>422</v>
      </c>
    </row>
    <row r="66" spans="1:7" x14ac:dyDescent="0.35">
      <c r="A66" t="s">
        <v>423</v>
      </c>
      <c r="B66" t="s">
        <v>424</v>
      </c>
      <c r="C66" t="s">
        <v>425</v>
      </c>
      <c r="D66" t="s">
        <v>36</v>
      </c>
      <c r="E66" t="s">
        <v>426</v>
      </c>
      <c r="F66" t="s">
        <v>427</v>
      </c>
      <c r="G66" t="s">
        <v>428</v>
      </c>
    </row>
    <row r="67" spans="1:7" x14ac:dyDescent="0.35">
      <c r="A67" t="s">
        <v>429</v>
      </c>
      <c r="B67" t="s">
        <v>430</v>
      </c>
      <c r="C67" t="s">
        <v>431</v>
      </c>
      <c r="D67" t="s">
        <v>184</v>
      </c>
      <c r="E67" t="s">
        <v>432</v>
      </c>
      <c r="F67" t="s">
        <v>433</v>
      </c>
      <c r="G67" t="s">
        <v>434</v>
      </c>
    </row>
    <row r="68" spans="1:7" x14ac:dyDescent="0.35">
      <c r="A68" t="s">
        <v>435</v>
      </c>
      <c r="B68" t="s">
        <v>436</v>
      </c>
      <c r="C68" t="s">
        <v>437</v>
      </c>
      <c r="D68" t="s">
        <v>23</v>
      </c>
      <c r="E68" t="s">
        <v>438</v>
      </c>
      <c r="F68" t="s">
        <v>439</v>
      </c>
      <c r="G68" t="s">
        <v>440</v>
      </c>
    </row>
    <row r="69" spans="1:7" x14ac:dyDescent="0.35">
      <c r="A69" t="s">
        <v>441</v>
      </c>
      <c r="B69" t="s">
        <v>442</v>
      </c>
      <c r="C69" t="s">
        <v>443</v>
      </c>
      <c r="D69" t="s">
        <v>77</v>
      </c>
      <c r="E69" t="s">
        <v>444</v>
      </c>
      <c r="F69" t="s">
        <v>330</v>
      </c>
      <c r="G69" t="s">
        <v>445</v>
      </c>
    </row>
    <row r="70" spans="1:7" x14ac:dyDescent="0.35">
      <c r="A70" t="s">
        <v>446</v>
      </c>
      <c r="B70" t="s">
        <v>447</v>
      </c>
      <c r="C70" t="s">
        <v>448</v>
      </c>
      <c r="D70" t="s">
        <v>449</v>
      </c>
      <c r="E70" t="s">
        <v>450</v>
      </c>
      <c r="F70" t="s">
        <v>451</v>
      </c>
      <c r="G70" t="s">
        <v>452</v>
      </c>
    </row>
    <row r="71" spans="1:7" x14ac:dyDescent="0.35">
      <c r="A71" t="s">
        <v>453</v>
      </c>
      <c r="B71" t="s">
        <v>454</v>
      </c>
      <c r="C71" t="s">
        <v>455</v>
      </c>
      <c r="D71" t="s">
        <v>394</v>
      </c>
      <c r="E71" t="s">
        <v>456</v>
      </c>
      <c r="F71" t="s">
        <v>457</v>
      </c>
      <c r="G71" t="s">
        <v>458</v>
      </c>
    </row>
    <row r="72" spans="1:7" x14ac:dyDescent="0.35">
      <c r="A72" t="s">
        <v>459</v>
      </c>
      <c r="B72" t="s">
        <v>460</v>
      </c>
      <c r="C72" t="s">
        <v>461</v>
      </c>
      <c r="D72" t="s">
        <v>198</v>
      </c>
      <c r="E72" t="s">
        <v>462</v>
      </c>
      <c r="F72" t="s">
        <v>463</v>
      </c>
      <c r="G72" t="s">
        <v>464</v>
      </c>
    </row>
    <row r="73" spans="1:7" x14ac:dyDescent="0.35">
      <c r="A73" t="s">
        <v>219</v>
      </c>
      <c r="B73" t="s">
        <v>465</v>
      </c>
      <c r="C73" t="s">
        <v>466</v>
      </c>
      <c r="D73" t="s">
        <v>467</v>
      </c>
      <c r="E73" t="s">
        <v>468</v>
      </c>
      <c r="F73" t="s">
        <v>469</v>
      </c>
      <c r="G73" t="s">
        <v>470</v>
      </c>
    </row>
    <row r="74" spans="1:7" x14ac:dyDescent="0.35">
      <c r="A74" t="s">
        <v>471</v>
      </c>
      <c r="B74" t="s">
        <v>472</v>
      </c>
      <c r="C74" t="s">
        <v>473</v>
      </c>
      <c r="D74" t="s">
        <v>474</v>
      </c>
      <c r="E74" t="s">
        <v>475</v>
      </c>
      <c r="F74" t="s">
        <v>476</v>
      </c>
      <c r="G74" t="s">
        <v>477</v>
      </c>
    </row>
    <row r="75" spans="1:7" x14ac:dyDescent="0.35">
      <c r="A75" t="s">
        <v>478</v>
      </c>
      <c r="B75" t="s">
        <v>479</v>
      </c>
      <c r="C75" t="s">
        <v>480</v>
      </c>
      <c r="D75" t="s">
        <v>481</v>
      </c>
      <c r="E75" t="s">
        <v>482</v>
      </c>
      <c r="F75" t="s">
        <v>483</v>
      </c>
      <c r="G75" t="s">
        <v>484</v>
      </c>
    </row>
    <row r="76" spans="1:7" x14ac:dyDescent="0.35">
      <c r="A76" t="s">
        <v>485</v>
      </c>
      <c r="B76" t="s">
        <v>485</v>
      </c>
      <c r="C76" t="s">
        <v>486</v>
      </c>
      <c r="D76" t="s">
        <v>487</v>
      </c>
      <c r="E76" t="s">
        <v>488</v>
      </c>
      <c r="F76" t="s">
        <v>489</v>
      </c>
      <c r="G76" t="s">
        <v>490</v>
      </c>
    </row>
    <row r="77" spans="1:7" x14ac:dyDescent="0.35">
      <c r="A77" t="s">
        <v>491</v>
      </c>
      <c r="B77" t="s">
        <v>492</v>
      </c>
      <c r="C77" t="s">
        <v>493</v>
      </c>
      <c r="D77" t="s">
        <v>494</v>
      </c>
      <c r="E77" t="s">
        <v>495</v>
      </c>
      <c r="F77" t="s">
        <v>496</v>
      </c>
      <c r="G77" t="s">
        <v>497</v>
      </c>
    </row>
    <row r="78" spans="1:7" x14ac:dyDescent="0.35">
      <c r="A78" t="s">
        <v>498</v>
      </c>
      <c r="B78" t="s">
        <v>499</v>
      </c>
      <c r="C78" t="s">
        <v>500</v>
      </c>
      <c r="D78" t="s">
        <v>387</v>
      </c>
      <c r="E78" t="s">
        <v>501</v>
      </c>
      <c r="F78" t="s">
        <v>502</v>
      </c>
      <c r="G78" t="s">
        <v>503</v>
      </c>
    </row>
    <row r="79" spans="1:7" x14ac:dyDescent="0.35">
      <c r="A79" t="s">
        <v>504</v>
      </c>
      <c r="B79" t="s">
        <v>505</v>
      </c>
      <c r="C79" t="s">
        <v>506</v>
      </c>
      <c r="D79" t="s">
        <v>157</v>
      </c>
      <c r="E79" t="s">
        <v>507</v>
      </c>
      <c r="F79" t="s">
        <v>508</v>
      </c>
      <c r="G79" t="s">
        <v>509</v>
      </c>
    </row>
    <row r="80" spans="1:7" x14ac:dyDescent="0.35">
      <c r="A80" t="s">
        <v>510</v>
      </c>
      <c r="B80" t="s">
        <v>510</v>
      </c>
      <c r="C80" t="s">
        <v>511</v>
      </c>
      <c r="D80" t="s">
        <v>265</v>
      </c>
      <c r="E80" t="s">
        <v>512</v>
      </c>
      <c r="F80" t="s">
        <v>513</v>
      </c>
      <c r="G80" t="s">
        <v>514</v>
      </c>
    </row>
    <row r="81" spans="1:7" x14ac:dyDescent="0.35">
      <c r="A81" t="s">
        <v>515</v>
      </c>
      <c r="B81" t="s">
        <v>516</v>
      </c>
      <c r="C81" t="s">
        <v>517</v>
      </c>
      <c r="D81" t="s">
        <v>518</v>
      </c>
      <c r="E81" t="s">
        <v>519</v>
      </c>
      <c r="F81" t="s">
        <v>520</v>
      </c>
      <c r="G81" t="s">
        <v>521</v>
      </c>
    </row>
    <row r="82" spans="1:7" x14ac:dyDescent="0.35">
      <c r="A82" t="s">
        <v>522</v>
      </c>
      <c r="B82" t="s">
        <v>522</v>
      </c>
      <c r="C82" t="s">
        <v>523</v>
      </c>
      <c r="D82" t="s">
        <v>524</v>
      </c>
      <c r="E82" t="s">
        <v>525</v>
      </c>
      <c r="F82" t="s">
        <v>526</v>
      </c>
      <c r="G82" t="s">
        <v>527</v>
      </c>
    </row>
    <row r="83" spans="1:7" x14ac:dyDescent="0.35">
      <c r="A83" t="s">
        <v>528</v>
      </c>
      <c r="B83" t="s">
        <v>529</v>
      </c>
      <c r="C83" t="s">
        <v>530</v>
      </c>
      <c r="D83" t="s">
        <v>531</v>
      </c>
      <c r="E83" t="s">
        <v>532</v>
      </c>
      <c r="F83" t="s">
        <v>533</v>
      </c>
      <c r="G83" t="s">
        <v>534</v>
      </c>
    </row>
    <row r="84" spans="1:7" x14ac:dyDescent="0.35">
      <c r="A84" t="s">
        <v>535</v>
      </c>
      <c r="B84" t="s">
        <v>536</v>
      </c>
      <c r="C84" t="s">
        <v>537</v>
      </c>
      <c r="D84" t="s">
        <v>56</v>
      </c>
      <c r="E84" t="s">
        <v>538</v>
      </c>
      <c r="F84" t="s">
        <v>539</v>
      </c>
      <c r="G84" t="s">
        <v>540</v>
      </c>
    </row>
    <row r="85" spans="1:7" x14ac:dyDescent="0.35">
      <c r="A85" t="s">
        <v>541</v>
      </c>
      <c r="B85" t="s">
        <v>542</v>
      </c>
      <c r="C85" t="s">
        <v>543</v>
      </c>
      <c r="D85" t="s">
        <v>544</v>
      </c>
      <c r="E85" t="s">
        <v>545</v>
      </c>
      <c r="F85" t="s">
        <v>546</v>
      </c>
      <c r="G85" t="s">
        <v>547</v>
      </c>
    </row>
    <row r="86" spans="1:7" x14ac:dyDescent="0.35">
      <c r="A86" t="s">
        <v>548</v>
      </c>
      <c r="B86" t="s">
        <v>548</v>
      </c>
      <c r="C86" t="s">
        <v>549</v>
      </c>
      <c r="D86" t="s">
        <v>245</v>
      </c>
      <c r="E86" t="s">
        <v>550</v>
      </c>
      <c r="F86" t="s">
        <v>551</v>
      </c>
      <c r="G86" t="s">
        <v>552</v>
      </c>
    </row>
    <row r="87" spans="1:7" x14ac:dyDescent="0.35">
      <c r="A87" t="s">
        <v>553</v>
      </c>
      <c r="B87" t="s">
        <v>554</v>
      </c>
      <c r="C87" t="s">
        <v>555</v>
      </c>
      <c r="D87" t="s">
        <v>556</v>
      </c>
      <c r="E87" t="s">
        <v>557</v>
      </c>
      <c r="F87" t="s">
        <v>558</v>
      </c>
      <c r="G87" t="s">
        <v>126</v>
      </c>
    </row>
    <row r="88" spans="1:7" x14ac:dyDescent="0.35">
      <c r="A88" t="s">
        <v>559</v>
      </c>
      <c r="B88" t="s">
        <v>560</v>
      </c>
      <c r="C88" t="s">
        <v>561</v>
      </c>
      <c r="D88" t="s">
        <v>177</v>
      </c>
      <c r="E88" t="s">
        <v>562</v>
      </c>
      <c r="F88" t="s">
        <v>563</v>
      </c>
      <c r="G88" t="s">
        <v>564</v>
      </c>
    </row>
    <row r="89" spans="1:7" x14ac:dyDescent="0.35">
      <c r="A89" t="s">
        <v>565</v>
      </c>
      <c r="B89" t="s">
        <v>566</v>
      </c>
      <c r="C89" t="s">
        <v>567</v>
      </c>
      <c r="D89" t="s">
        <v>568</v>
      </c>
      <c r="E89" t="s">
        <v>569</v>
      </c>
      <c r="F89" t="s">
        <v>570</v>
      </c>
      <c r="G89" t="s">
        <v>571</v>
      </c>
    </row>
    <row r="90" spans="1:7" x14ac:dyDescent="0.35">
      <c r="A90" t="s">
        <v>572</v>
      </c>
      <c r="B90" t="s">
        <v>573</v>
      </c>
      <c r="C90" t="s">
        <v>574</v>
      </c>
      <c r="D90" t="s">
        <v>49</v>
      </c>
      <c r="E90" t="s">
        <v>575</v>
      </c>
      <c r="F90" t="s">
        <v>576</v>
      </c>
      <c r="G90" t="s">
        <v>577</v>
      </c>
    </row>
    <row r="91" spans="1:7" x14ac:dyDescent="0.35">
      <c r="A91" t="s">
        <v>578</v>
      </c>
      <c r="B91" t="s">
        <v>579</v>
      </c>
      <c r="C91" t="s">
        <v>580</v>
      </c>
      <c r="D91" t="s">
        <v>290</v>
      </c>
      <c r="E91" t="s">
        <v>581</v>
      </c>
      <c r="F91" t="s">
        <v>582</v>
      </c>
      <c r="G91" t="s">
        <v>583</v>
      </c>
    </row>
    <row r="92" spans="1:7" x14ac:dyDescent="0.35">
      <c r="A92" t="s">
        <v>584</v>
      </c>
      <c r="B92" t="s">
        <v>584</v>
      </c>
      <c r="C92" t="s">
        <v>585</v>
      </c>
      <c r="D92" t="s">
        <v>198</v>
      </c>
      <c r="E92" t="s">
        <v>586</v>
      </c>
      <c r="F92" t="s">
        <v>587</v>
      </c>
      <c r="G92" t="s">
        <v>588</v>
      </c>
    </row>
    <row r="93" spans="1:7" x14ac:dyDescent="0.35">
      <c r="A93" t="s">
        <v>589</v>
      </c>
      <c r="B93" t="s">
        <v>590</v>
      </c>
      <c r="C93" t="s">
        <v>591</v>
      </c>
      <c r="D93" t="s">
        <v>177</v>
      </c>
      <c r="E93" t="s">
        <v>592</v>
      </c>
      <c r="F93" t="s">
        <v>593</v>
      </c>
      <c r="G93" t="s">
        <v>594</v>
      </c>
    </row>
    <row r="94" spans="1:7" x14ac:dyDescent="0.35">
      <c r="A94" t="s">
        <v>595</v>
      </c>
      <c r="B94" t="s">
        <v>596</v>
      </c>
      <c r="C94" t="s">
        <v>597</v>
      </c>
      <c r="D94" t="s">
        <v>198</v>
      </c>
      <c r="E94" t="s">
        <v>598</v>
      </c>
      <c r="F94" t="s">
        <v>599</v>
      </c>
      <c r="G94" t="s">
        <v>600</v>
      </c>
    </row>
    <row r="95" spans="1:7" x14ac:dyDescent="0.35">
      <c r="A95" t="s">
        <v>601</v>
      </c>
      <c r="B95" t="s">
        <v>602</v>
      </c>
      <c r="C95" t="s">
        <v>603</v>
      </c>
      <c r="D95" t="s">
        <v>97</v>
      </c>
      <c r="E95" t="s">
        <v>604</v>
      </c>
      <c r="F95" t="s">
        <v>605</v>
      </c>
      <c r="G95" t="s">
        <v>606</v>
      </c>
    </row>
    <row r="96" spans="1:7" x14ac:dyDescent="0.35">
      <c r="A96" t="s">
        <v>607</v>
      </c>
      <c r="B96" t="s">
        <v>608</v>
      </c>
      <c r="C96" t="s">
        <v>609</v>
      </c>
      <c r="D96" t="s">
        <v>610</v>
      </c>
      <c r="E96" t="s">
        <v>611</v>
      </c>
      <c r="F96" t="s">
        <v>612</v>
      </c>
      <c r="G96" t="s">
        <v>613</v>
      </c>
    </row>
    <row r="97" spans="1:7" x14ac:dyDescent="0.35">
      <c r="A97" t="s">
        <v>614</v>
      </c>
      <c r="B97" t="s">
        <v>615</v>
      </c>
      <c r="C97" t="s">
        <v>616</v>
      </c>
      <c r="D97" t="s">
        <v>177</v>
      </c>
      <c r="E97" t="s">
        <v>617</v>
      </c>
      <c r="F97" t="s">
        <v>618</v>
      </c>
      <c r="G97" t="s">
        <v>619</v>
      </c>
    </row>
    <row r="98" spans="1:7" x14ac:dyDescent="0.35">
      <c r="A98" t="s">
        <v>620</v>
      </c>
      <c r="B98" t="s">
        <v>621</v>
      </c>
      <c r="C98" t="s">
        <v>622</v>
      </c>
      <c r="D98" t="s">
        <v>144</v>
      </c>
      <c r="E98" t="s">
        <v>623</v>
      </c>
      <c r="F98" t="s">
        <v>624</v>
      </c>
      <c r="G98" t="s">
        <v>625</v>
      </c>
    </row>
    <row r="99" spans="1:7" x14ac:dyDescent="0.35">
      <c r="A99" t="s">
        <v>626</v>
      </c>
      <c r="B99" t="s">
        <v>627</v>
      </c>
      <c r="C99" t="s">
        <v>628</v>
      </c>
      <c r="D99" t="s">
        <v>30</v>
      </c>
      <c r="E99" t="s">
        <v>629</v>
      </c>
      <c r="F99" t="s">
        <v>630</v>
      </c>
      <c r="G99" t="s">
        <v>631</v>
      </c>
    </row>
    <row r="100" spans="1:7" x14ac:dyDescent="0.35">
      <c r="A100" t="s">
        <v>632</v>
      </c>
      <c r="B100" t="s">
        <v>633</v>
      </c>
      <c r="C100" t="s">
        <v>634</v>
      </c>
      <c r="D100" t="s">
        <v>335</v>
      </c>
      <c r="E100" t="s">
        <v>635</v>
      </c>
      <c r="F100" t="s">
        <v>636</v>
      </c>
      <c r="G100" t="s">
        <v>637</v>
      </c>
    </row>
    <row r="101" spans="1:7" x14ac:dyDescent="0.35">
      <c r="A101" t="s">
        <v>638</v>
      </c>
      <c r="B101" t="s">
        <v>639</v>
      </c>
      <c r="C101" t="s">
        <v>640</v>
      </c>
      <c r="D101" t="s">
        <v>245</v>
      </c>
      <c r="E101" t="s">
        <v>641</v>
      </c>
      <c r="F101" t="s">
        <v>642</v>
      </c>
      <c r="G101" t="s">
        <v>643</v>
      </c>
    </row>
    <row r="102" spans="1:7" x14ac:dyDescent="0.35">
      <c r="A102" t="s">
        <v>644</v>
      </c>
      <c r="B102" t="s">
        <v>645</v>
      </c>
      <c r="C102" t="s">
        <v>646</v>
      </c>
      <c r="D102" t="s">
        <v>647</v>
      </c>
      <c r="E102" t="s">
        <v>648</v>
      </c>
      <c r="F102" t="s">
        <v>649</v>
      </c>
      <c r="G102" t="s">
        <v>650</v>
      </c>
    </row>
    <row r="103" spans="1:7" x14ac:dyDescent="0.35">
      <c r="A103" t="s">
        <v>651</v>
      </c>
      <c r="B103" t="s">
        <v>651</v>
      </c>
      <c r="C103" t="s">
        <v>652</v>
      </c>
      <c r="D103" t="s">
        <v>653</v>
      </c>
      <c r="E103" t="s">
        <v>654</v>
      </c>
      <c r="F103" t="s">
        <v>655</v>
      </c>
      <c r="G103" t="s">
        <v>656</v>
      </c>
    </row>
    <row r="104" spans="1:7" x14ac:dyDescent="0.35">
      <c r="A104" t="s">
        <v>657</v>
      </c>
      <c r="B104" t="s">
        <v>658</v>
      </c>
      <c r="C104" t="s">
        <v>659</v>
      </c>
      <c r="D104" t="s">
        <v>123</v>
      </c>
      <c r="E104" t="s">
        <v>660</v>
      </c>
      <c r="F104" t="s">
        <v>661</v>
      </c>
      <c r="G104" t="s">
        <v>662</v>
      </c>
    </row>
    <row r="105" spans="1:7" x14ac:dyDescent="0.35">
      <c r="A105" t="s">
        <v>663</v>
      </c>
      <c r="B105" t="s">
        <v>664</v>
      </c>
      <c r="C105" t="s">
        <v>665</v>
      </c>
      <c r="D105" t="s">
        <v>97</v>
      </c>
      <c r="E105" t="s">
        <v>666</v>
      </c>
      <c r="F105" t="s">
        <v>667</v>
      </c>
      <c r="G105" t="s">
        <v>668</v>
      </c>
    </row>
    <row r="106" spans="1:7" x14ac:dyDescent="0.35">
      <c r="A106" t="s">
        <v>669</v>
      </c>
      <c r="B106" t="s">
        <v>670</v>
      </c>
      <c r="C106" t="s">
        <v>671</v>
      </c>
      <c r="D106" t="s">
        <v>177</v>
      </c>
      <c r="E106" t="s">
        <v>672</v>
      </c>
      <c r="F106" t="s">
        <v>673</v>
      </c>
      <c r="G106" t="s">
        <v>674</v>
      </c>
    </row>
    <row r="107" spans="1:7" x14ac:dyDescent="0.35">
      <c r="A107" t="s">
        <v>675</v>
      </c>
      <c r="B107" t="s">
        <v>676</v>
      </c>
      <c r="C107" t="s">
        <v>677</v>
      </c>
      <c r="D107" t="s">
        <v>77</v>
      </c>
      <c r="E107" t="s">
        <v>678</v>
      </c>
      <c r="F107" t="s">
        <v>679</v>
      </c>
      <c r="G107" t="s">
        <v>680</v>
      </c>
    </row>
    <row r="108" spans="1:7" x14ac:dyDescent="0.35">
      <c r="A108" t="s">
        <v>681</v>
      </c>
      <c r="B108" t="s">
        <v>682</v>
      </c>
      <c r="C108" t="s">
        <v>683</v>
      </c>
      <c r="D108" t="s">
        <v>684</v>
      </c>
      <c r="E108" t="s">
        <v>685</v>
      </c>
      <c r="F108" t="s">
        <v>686</v>
      </c>
      <c r="G108" t="s">
        <v>687</v>
      </c>
    </row>
    <row r="109" spans="1:7" x14ac:dyDescent="0.35">
      <c r="A109" t="s">
        <v>688</v>
      </c>
      <c r="B109" t="s">
        <v>689</v>
      </c>
      <c r="C109" t="s">
        <v>690</v>
      </c>
      <c r="D109" t="s">
        <v>387</v>
      </c>
      <c r="E109" t="s">
        <v>691</v>
      </c>
      <c r="F109" t="s">
        <v>692</v>
      </c>
      <c r="G109" t="s">
        <v>318</v>
      </c>
    </row>
    <row r="110" spans="1:7" x14ac:dyDescent="0.35">
      <c r="A110" t="s">
        <v>693</v>
      </c>
      <c r="B110" t="s">
        <v>694</v>
      </c>
      <c r="C110" t="s">
        <v>695</v>
      </c>
      <c r="D110" t="s">
        <v>696</v>
      </c>
      <c r="E110" t="s">
        <v>697</v>
      </c>
      <c r="F110" t="s">
        <v>698</v>
      </c>
      <c r="G110" t="s">
        <v>699</v>
      </c>
    </row>
    <row r="111" spans="1:7" x14ac:dyDescent="0.35">
      <c r="A111" t="s">
        <v>700</v>
      </c>
      <c r="B111" t="s">
        <v>701</v>
      </c>
      <c r="C111" t="s">
        <v>702</v>
      </c>
      <c r="D111" t="s">
        <v>474</v>
      </c>
      <c r="E111" t="s">
        <v>703</v>
      </c>
      <c r="F111" t="s">
        <v>704</v>
      </c>
      <c r="G111" t="s">
        <v>705</v>
      </c>
    </row>
    <row r="112" spans="1:7" x14ac:dyDescent="0.35">
      <c r="A112" t="s">
        <v>706</v>
      </c>
      <c r="B112" t="s">
        <v>707</v>
      </c>
      <c r="C112" t="s">
        <v>708</v>
      </c>
      <c r="D112" t="s">
        <v>709</v>
      </c>
      <c r="E112" t="s">
        <v>710</v>
      </c>
      <c r="F112" t="s">
        <v>711</v>
      </c>
      <c r="G112" t="s">
        <v>712</v>
      </c>
    </row>
    <row r="113" spans="1:7" x14ac:dyDescent="0.35">
      <c r="A113" t="s">
        <v>713</v>
      </c>
      <c r="B113" t="s">
        <v>714</v>
      </c>
      <c r="C113" t="s">
        <v>715</v>
      </c>
      <c r="D113" t="s">
        <v>716</v>
      </c>
      <c r="E113" t="s">
        <v>717</v>
      </c>
      <c r="F113" t="s">
        <v>718</v>
      </c>
      <c r="G113" t="s">
        <v>719</v>
      </c>
    </row>
    <row r="114" spans="1:7" x14ac:dyDescent="0.35">
      <c r="A114" t="s">
        <v>720</v>
      </c>
      <c r="B114" t="s">
        <v>721</v>
      </c>
      <c r="C114" t="s">
        <v>722</v>
      </c>
      <c r="D114" t="s">
        <v>252</v>
      </c>
      <c r="E114" t="s">
        <v>723</v>
      </c>
      <c r="F114" t="s">
        <v>724</v>
      </c>
      <c r="G114" t="s">
        <v>725</v>
      </c>
    </row>
    <row r="115" spans="1:7" x14ac:dyDescent="0.35">
      <c r="A115" t="s">
        <v>726</v>
      </c>
      <c r="B115" t="s">
        <v>727</v>
      </c>
      <c r="C115" t="s">
        <v>728</v>
      </c>
      <c r="D115" t="s">
        <v>653</v>
      </c>
      <c r="E115" t="s">
        <v>729</v>
      </c>
      <c r="F115" t="s">
        <v>730</v>
      </c>
      <c r="G115" t="s">
        <v>731</v>
      </c>
    </row>
    <row r="116" spans="1:7" x14ac:dyDescent="0.35">
      <c r="A116" t="s">
        <v>732</v>
      </c>
      <c r="B116" t="s">
        <v>733</v>
      </c>
      <c r="C116" t="s">
        <v>734</v>
      </c>
      <c r="D116" t="s">
        <v>735</v>
      </c>
      <c r="E116" t="s">
        <v>736</v>
      </c>
      <c r="F116" t="s">
        <v>737</v>
      </c>
      <c r="G116" t="s">
        <v>738</v>
      </c>
    </row>
    <row r="117" spans="1:7" x14ac:dyDescent="0.35">
      <c r="A117" t="s">
        <v>739</v>
      </c>
      <c r="B117" t="s">
        <v>739</v>
      </c>
      <c r="C117" t="s">
        <v>740</v>
      </c>
      <c r="D117" t="s">
        <v>741</v>
      </c>
      <c r="E117" t="s">
        <v>742</v>
      </c>
      <c r="F117" t="s">
        <v>743</v>
      </c>
      <c r="G117" t="s">
        <v>744</v>
      </c>
    </row>
    <row r="118" spans="1:7" x14ac:dyDescent="0.35">
      <c r="A118" t="s">
        <v>745</v>
      </c>
      <c r="B118" t="s">
        <v>746</v>
      </c>
      <c r="C118" t="s">
        <v>747</v>
      </c>
      <c r="D118" t="s">
        <v>748</v>
      </c>
      <c r="E118" t="s">
        <v>749</v>
      </c>
      <c r="F118" t="s">
        <v>750</v>
      </c>
      <c r="G118" t="s">
        <v>751</v>
      </c>
    </row>
    <row r="119" spans="1:7" x14ac:dyDescent="0.35">
      <c r="A119" t="s">
        <v>752</v>
      </c>
      <c r="B119" t="s">
        <v>753</v>
      </c>
      <c r="C119" t="s">
        <v>754</v>
      </c>
      <c r="D119" t="s">
        <v>755</v>
      </c>
      <c r="E119" t="s">
        <v>756</v>
      </c>
      <c r="F119" t="s">
        <v>757</v>
      </c>
      <c r="G119" t="s">
        <v>758</v>
      </c>
    </row>
    <row r="120" spans="1:7" x14ac:dyDescent="0.35">
      <c r="A120" t="s">
        <v>759</v>
      </c>
      <c r="B120" t="s">
        <v>760</v>
      </c>
      <c r="C120" t="s">
        <v>761</v>
      </c>
      <c r="D120" t="s">
        <v>322</v>
      </c>
      <c r="E120" t="s">
        <v>762</v>
      </c>
      <c r="F120" t="s">
        <v>763</v>
      </c>
      <c r="G120" t="s">
        <v>764</v>
      </c>
    </row>
    <row r="121" spans="1:7" x14ac:dyDescent="0.35">
      <c r="A121" t="s">
        <v>765</v>
      </c>
      <c r="B121" t="s">
        <v>766</v>
      </c>
      <c r="C121" t="s">
        <v>767</v>
      </c>
      <c r="D121" t="s">
        <v>568</v>
      </c>
      <c r="E121" t="s">
        <v>768</v>
      </c>
      <c r="F121" t="s">
        <v>769</v>
      </c>
      <c r="G121" t="s">
        <v>770</v>
      </c>
    </row>
    <row r="122" spans="1:7" x14ac:dyDescent="0.35">
      <c r="A122" t="s">
        <v>771</v>
      </c>
      <c r="B122" t="s">
        <v>772</v>
      </c>
      <c r="C122" t="s">
        <v>773</v>
      </c>
      <c r="D122" t="s">
        <v>252</v>
      </c>
      <c r="E122" t="s">
        <v>774</v>
      </c>
      <c r="F122" t="s">
        <v>775</v>
      </c>
      <c r="G122" t="s">
        <v>776</v>
      </c>
    </row>
    <row r="123" spans="1:7" x14ac:dyDescent="0.35">
      <c r="A123" t="s">
        <v>777</v>
      </c>
      <c r="B123" t="s">
        <v>778</v>
      </c>
      <c r="C123" t="s">
        <v>779</v>
      </c>
      <c r="D123" t="s">
        <v>342</v>
      </c>
      <c r="E123" t="s">
        <v>780</v>
      </c>
      <c r="F123" t="s">
        <v>781</v>
      </c>
      <c r="G123" t="s">
        <v>782</v>
      </c>
    </row>
    <row r="124" spans="1:7" x14ac:dyDescent="0.35">
      <c r="A124" t="s">
        <v>783</v>
      </c>
      <c r="B124" t="s">
        <v>784</v>
      </c>
      <c r="C124" t="s">
        <v>785</v>
      </c>
      <c r="D124" t="s">
        <v>544</v>
      </c>
      <c r="E124" t="s">
        <v>786</v>
      </c>
      <c r="F124" t="s">
        <v>787</v>
      </c>
      <c r="G124" t="s">
        <v>788</v>
      </c>
    </row>
    <row r="125" spans="1:7" x14ac:dyDescent="0.35">
      <c r="A125" t="s">
        <v>789</v>
      </c>
      <c r="B125" t="s">
        <v>790</v>
      </c>
      <c r="C125" t="s">
        <v>791</v>
      </c>
      <c r="D125" t="s">
        <v>792</v>
      </c>
      <c r="E125" t="s">
        <v>793</v>
      </c>
      <c r="F125" t="s">
        <v>794</v>
      </c>
      <c r="G125" t="s">
        <v>795</v>
      </c>
    </row>
    <row r="126" spans="1:7" x14ac:dyDescent="0.35">
      <c r="A126" t="s">
        <v>796</v>
      </c>
      <c r="B126" t="s">
        <v>797</v>
      </c>
      <c r="C126" t="s">
        <v>798</v>
      </c>
      <c r="D126" t="s">
        <v>387</v>
      </c>
      <c r="E126" t="s">
        <v>799</v>
      </c>
      <c r="F126" t="s">
        <v>800</v>
      </c>
      <c r="G126" t="s">
        <v>801</v>
      </c>
    </row>
    <row r="127" spans="1:7" x14ac:dyDescent="0.35">
      <c r="A127" t="s">
        <v>802</v>
      </c>
      <c r="B127" t="s">
        <v>803</v>
      </c>
      <c r="C127" t="s">
        <v>804</v>
      </c>
      <c r="D127" t="s">
        <v>36</v>
      </c>
      <c r="E127" t="s">
        <v>805</v>
      </c>
      <c r="F127" t="s">
        <v>806</v>
      </c>
      <c r="G127" t="s">
        <v>807</v>
      </c>
    </row>
    <row r="128" spans="1:7" x14ac:dyDescent="0.35">
      <c r="A128" t="s">
        <v>808</v>
      </c>
      <c r="B128" t="s">
        <v>809</v>
      </c>
      <c r="C128" t="s">
        <v>810</v>
      </c>
      <c r="D128" t="s">
        <v>811</v>
      </c>
      <c r="E128" t="s">
        <v>812</v>
      </c>
      <c r="F128" t="s">
        <v>813</v>
      </c>
      <c r="G128" t="s">
        <v>814</v>
      </c>
    </row>
    <row r="129" spans="1:7" x14ac:dyDescent="0.35">
      <c r="A129" t="s">
        <v>815</v>
      </c>
      <c r="B129" t="s">
        <v>816</v>
      </c>
      <c r="C129" t="s">
        <v>817</v>
      </c>
      <c r="D129" t="s">
        <v>684</v>
      </c>
      <c r="E129" t="s">
        <v>818</v>
      </c>
      <c r="F129" t="s">
        <v>819</v>
      </c>
      <c r="G129" t="s">
        <v>820</v>
      </c>
    </row>
    <row r="130" spans="1:7" x14ac:dyDescent="0.35">
      <c r="A130" t="s">
        <v>821</v>
      </c>
      <c r="B130" t="s">
        <v>822</v>
      </c>
      <c r="C130" t="s">
        <v>823</v>
      </c>
      <c r="D130" t="s">
        <v>17</v>
      </c>
      <c r="E130" t="s">
        <v>824</v>
      </c>
      <c r="F130" t="s">
        <v>825</v>
      </c>
      <c r="G130" t="s">
        <v>826</v>
      </c>
    </row>
    <row r="131" spans="1:7" x14ac:dyDescent="0.35">
      <c r="A131" t="s">
        <v>827</v>
      </c>
      <c r="B131" t="s">
        <v>828</v>
      </c>
      <c r="C131" t="s">
        <v>829</v>
      </c>
      <c r="D131" t="s">
        <v>17</v>
      </c>
      <c r="E131" t="s">
        <v>830</v>
      </c>
      <c r="F131" t="s">
        <v>831</v>
      </c>
      <c r="G131" t="s">
        <v>832</v>
      </c>
    </row>
    <row r="132" spans="1:7" x14ac:dyDescent="0.35">
      <c r="A132" t="s">
        <v>833</v>
      </c>
      <c r="B132" t="s">
        <v>833</v>
      </c>
      <c r="C132" t="s">
        <v>834</v>
      </c>
      <c r="D132" t="s">
        <v>177</v>
      </c>
      <c r="E132" t="s">
        <v>835</v>
      </c>
      <c r="F132" t="s">
        <v>330</v>
      </c>
      <c r="G132" t="s">
        <v>836</v>
      </c>
    </row>
    <row r="133" spans="1:7" x14ac:dyDescent="0.35">
      <c r="A133" t="s">
        <v>837</v>
      </c>
      <c r="B133" t="s">
        <v>838</v>
      </c>
      <c r="C133" t="s">
        <v>839</v>
      </c>
      <c r="D133" t="s">
        <v>157</v>
      </c>
      <c r="E133" t="s">
        <v>840</v>
      </c>
      <c r="F133" t="s">
        <v>330</v>
      </c>
      <c r="G133" t="s">
        <v>841</v>
      </c>
    </row>
    <row r="134" spans="1:7" x14ac:dyDescent="0.35">
      <c r="A134" t="s">
        <v>842</v>
      </c>
      <c r="B134" t="s">
        <v>843</v>
      </c>
      <c r="C134" t="s">
        <v>844</v>
      </c>
      <c r="D134" t="s">
        <v>110</v>
      </c>
      <c r="E134" t="s">
        <v>845</v>
      </c>
      <c r="F134" t="s">
        <v>846</v>
      </c>
      <c r="G134" t="s">
        <v>847</v>
      </c>
    </row>
    <row r="135" spans="1:7" x14ac:dyDescent="0.35">
      <c r="A135" t="s">
        <v>848</v>
      </c>
      <c r="B135" t="s">
        <v>849</v>
      </c>
      <c r="C135" t="s">
        <v>850</v>
      </c>
      <c r="D135" t="s">
        <v>157</v>
      </c>
      <c r="E135" t="s">
        <v>851</v>
      </c>
      <c r="F135" t="s">
        <v>852</v>
      </c>
      <c r="G135" t="s">
        <v>853</v>
      </c>
    </row>
    <row r="136" spans="1:7" x14ac:dyDescent="0.35">
      <c r="A136" t="s">
        <v>854</v>
      </c>
      <c r="B136" t="s">
        <v>855</v>
      </c>
      <c r="C136" t="s">
        <v>856</v>
      </c>
      <c r="D136" t="s">
        <v>177</v>
      </c>
      <c r="E136" t="s">
        <v>857</v>
      </c>
      <c r="F136" t="s">
        <v>330</v>
      </c>
      <c r="G136" t="s">
        <v>858</v>
      </c>
    </row>
    <row r="137" spans="1:7" x14ac:dyDescent="0.35">
      <c r="A137" t="s">
        <v>859</v>
      </c>
      <c r="B137" t="s">
        <v>860</v>
      </c>
      <c r="C137" t="s">
        <v>861</v>
      </c>
      <c r="D137" t="s">
        <v>862</v>
      </c>
      <c r="E137" t="s">
        <v>863</v>
      </c>
      <c r="F137" t="s">
        <v>864</v>
      </c>
      <c r="G137" t="s">
        <v>865</v>
      </c>
    </row>
    <row r="138" spans="1:7" x14ac:dyDescent="0.35">
      <c r="A138" t="s">
        <v>866</v>
      </c>
      <c r="B138" t="s">
        <v>867</v>
      </c>
      <c r="C138" t="s">
        <v>868</v>
      </c>
      <c r="D138" t="s">
        <v>49</v>
      </c>
      <c r="E138" t="s">
        <v>869</v>
      </c>
      <c r="F138" t="s">
        <v>870</v>
      </c>
      <c r="G138" t="s">
        <v>871</v>
      </c>
    </row>
    <row r="139" spans="1:7" x14ac:dyDescent="0.35">
      <c r="A139" t="s">
        <v>872</v>
      </c>
      <c r="B139" t="s">
        <v>873</v>
      </c>
      <c r="C139" t="s">
        <v>874</v>
      </c>
      <c r="D139" t="s">
        <v>322</v>
      </c>
      <c r="E139" t="s">
        <v>875</v>
      </c>
      <c r="F139" t="s">
        <v>876</v>
      </c>
      <c r="G139" t="s">
        <v>877</v>
      </c>
    </row>
    <row r="140" spans="1:7" x14ac:dyDescent="0.35">
      <c r="A140" t="s">
        <v>878</v>
      </c>
      <c r="B140" t="s">
        <v>878</v>
      </c>
      <c r="C140" t="s">
        <v>879</v>
      </c>
      <c r="D140" t="s">
        <v>880</v>
      </c>
      <c r="E140" t="s">
        <v>881</v>
      </c>
      <c r="F140" t="s">
        <v>882</v>
      </c>
      <c r="G140" t="s">
        <v>883</v>
      </c>
    </row>
    <row r="141" spans="1:7" x14ac:dyDescent="0.35">
      <c r="A141" t="s">
        <v>884</v>
      </c>
      <c r="B141" t="s">
        <v>885</v>
      </c>
      <c r="C141" t="s">
        <v>886</v>
      </c>
      <c r="D141" t="s">
        <v>474</v>
      </c>
      <c r="E141" t="s">
        <v>887</v>
      </c>
      <c r="F141" t="s">
        <v>888</v>
      </c>
      <c r="G141" t="s">
        <v>889</v>
      </c>
    </row>
    <row r="142" spans="1:7" x14ac:dyDescent="0.35">
      <c r="A142" t="s">
        <v>890</v>
      </c>
      <c r="B142" t="s">
        <v>891</v>
      </c>
      <c r="C142" t="s">
        <v>892</v>
      </c>
      <c r="D142" t="s">
        <v>531</v>
      </c>
      <c r="E142" t="s">
        <v>893</v>
      </c>
      <c r="F142" t="s">
        <v>894</v>
      </c>
      <c r="G142" t="s">
        <v>895</v>
      </c>
    </row>
    <row r="143" spans="1:7" x14ac:dyDescent="0.35">
      <c r="A143" t="s">
        <v>896</v>
      </c>
      <c r="B143" t="s">
        <v>897</v>
      </c>
      <c r="C143" t="s">
        <v>898</v>
      </c>
      <c r="D143" t="s">
        <v>123</v>
      </c>
      <c r="E143" t="s">
        <v>899</v>
      </c>
      <c r="F143" t="s">
        <v>900</v>
      </c>
      <c r="G143" t="s">
        <v>901</v>
      </c>
    </row>
    <row r="144" spans="1:7" x14ac:dyDescent="0.35">
      <c r="A144" t="s">
        <v>902</v>
      </c>
      <c r="B144" t="s">
        <v>903</v>
      </c>
      <c r="C144" t="s">
        <v>904</v>
      </c>
      <c r="D144" t="s">
        <v>123</v>
      </c>
      <c r="E144" t="s">
        <v>905</v>
      </c>
      <c r="F144" t="s">
        <v>906</v>
      </c>
      <c r="G144" t="s">
        <v>907</v>
      </c>
    </row>
    <row r="145" spans="1:7" x14ac:dyDescent="0.35">
      <c r="A145" t="s">
        <v>908</v>
      </c>
      <c r="B145" t="s">
        <v>909</v>
      </c>
      <c r="C145" t="s">
        <v>910</v>
      </c>
      <c r="D145" t="s">
        <v>911</v>
      </c>
      <c r="E145" t="s">
        <v>912</v>
      </c>
      <c r="F145" t="s">
        <v>913</v>
      </c>
      <c r="G145" t="s">
        <v>914</v>
      </c>
    </row>
    <row r="146" spans="1:7" x14ac:dyDescent="0.35">
      <c r="A146" t="s">
        <v>915</v>
      </c>
      <c r="B146" t="s">
        <v>916</v>
      </c>
      <c r="C146" t="s">
        <v>917</v>
      </c>
      <c r="D146" t="s">
        <v>342</v>
      </c>
      <c r="E146" t="s">
        <v>918</v>
      </c>
      <c r="F146" t="s">
        <v>919</v>
      </c>
      <c r="G146" t="s">
        <v>920</v>
      </c>
    </row>
    <row r="147" spans="1:7" x14ac:dyDescent="0.35">
      <c r="A147" t="s">
        <v>921</v>
      </c>
      <c r="B147" t="s">
        <v>921</v>
      </c>
      <c r="C147" t="s">
        <v>922</v>
      </c>
      <c r="D147" t="s">
        <v>70</v>
      </c>
      <c r="E147" t="s">
        <v>923</v>
      </c>
      <c r="F147" t="s">
        <v>924</v>
      </c>
      <c r="G147" t="s">
        <v>925</v>
      </c>
    </row>
    <row r="148" spans="1:7" x14ac:dyDescent="0.35">
      <c r="A148" t="s">
        <v>926</v>
      </c>
      <c r="B148" t="s">
        <v>927</v>
      </c>
      <c r="C148" t="s">
        <v>928</v>
      </c>
      <c r="D148" t="s">
        <v>419</v>
      </c>
      <c r="E148" t="s">
        <v>929</v>
      </c>
      <c r="F148" t="s">
        <v>930</v>
      </c>
      <c r="G148" t="s">
        <v>931</v>
      </c>
    </row>
    <row r="149" spans="1:7" x14ac:dyDescent="0.35">
      <c r="A149" t="s">
        <v>932</v>
      </c>
      <c r="B149" t="s">
        <v>933</v>
      </c>
      <c r="C149" t="s">
        <v>934</v>
      </c>
      <c r="D149" t="s">
        <v>419</v>
      </c>
      <c r="E149" t="s">
        <v>935</v>
      </c>
      <c r="F149" t="s">
        <v>936</v>
      </c>
      <c r="G149" t="s">
        <v>937</v>
      </c>
    </row>
    <row r="150" spans="1:7" x14ac:dyDescent="0.35">
      <c r="A150" t="s">
        <v>938</v>
      </c>
      <c r="B150" t="s">
        <v>939</v>
      </c>
      <c r="C150" t="s">
        <v>940</v>
      </c>
      <c r="D150" t="s">
        <v>941</v>
      </c>
      <c r="E150" t="s">
        <v>942</v>
      </c>
      <c r="F150" t="s">
        <v>943</v>
      </c>
      <c r="G150" t="s">
        <v>944</v>
      </c>
    </row>
    <row r="151" spans="1:7" x14ac:dyDescent="0.35">
      <c r="A151" t="s">
        <v>945</v>
      </c>
      <c r="B151" t="s">
        <v>946</v>
      </c>
      <c r="C151" t="s">
        <v>947</v>
      </c>
      <c r="D151" t="s">
        <v>198</v>
      </c>
      <c r="E151" t="s">
        <v>948</v>
      </c>
      <c r="F151" t="s">
        <v>949</v>
      </c>
      <c r="G151" t="s">
        <v>950</v>
      </c>
    </row>
    <row r="152" spans="1:7" x14ac:dyDescent="0.35">
      <c r="A152" t="s">
        <v>951</v>
      </c>
      <c r="B152" t="s">
        <v>952</v>
      </c>
      <c r="C152" t="s">
        <v>953</v>
      </c>
      <c r="D152" t="s">
        <v>954</v>
      </c>
      <c r="E152" t="s">
        <v>955</v>
      </c>
      <c r="F152" t="s">
        <v>956</v>
      </c>
      <c r="G152" t="s">
        <v>957</v>
      </c>
    </row>
    <row r="153" spans="1:7" x14ac:dyDescent="0.35">
      <c r="A153" t="s">
        <v>958</v>
      </c>
      <c r="B153" t="s">
        <v>959</v>
      </c>
      <c r="C153" t="s">
        <v>960</v>
      </c>
      <c r="D153" t="s">
        <v>177</v>
      </c>
      <c r="E153" t="s">
        <v>961</v>
      </c>
      <c r="F153" t="s">
        <v>330</v>
      </c>
      <c r="G153" t="s">
        <v>962</v>
      </c>
    </row>
    <row r="154" spans="1:7" x14ac:dyDescent="0.35">
      <c r="A154" t="s">
        <v>963</v>
      </c>
      <c r="B154" t="s">
        <v>964</v>
      </c>
      <c r="C154" t="s">
        <v>965</v>
      </c>
      <c r="D154" t="s">
        <v>177</v>
      </c>
      <c r="E154" t="s">
        <v>966</v>
      </c>
      <c r="F154" t="s">
        <v>330</v>
      </c>
      <c r="G154" t="s">
        <v>967</v>
      </c>
    </row>
    <row r="155" spans="1:7" x14ac:dyDescent="0.35">
      <c r="A155" t="s">
        <v>968</v>
      </c>
      <c r="B155" t="s">
        <v>969</v>
      </c>
      <c r="C155" t="s">
        <v>970</v>
      </c>
      <c r="D155" t="s">
        <v>971</v>
      </c>
      <c r="E155" t="s">
        <v>972</v>
      </c>
      <c r="F155" t="s">
        <v>973</v>
      </c>
      <c r="G155" t="s">
        <v>974</v>
      </c>
    </row>
    <row r="156" spans="1:7" x14ac:dyDescent="0.35">
      <c r="A156" t="s">
        <v>975</v>
      </c>
      <c r="B156" t="s">
        <v>976</v>
      </c>
      <c r="C156" t="s">
        <v>977</v>
      </c>
      <c r="D156" t="s">
        <v>63</v>
      </c>
      <c r="E156" t="s">
        <v>978</v>
      </c>
      <c r="F156" t="s">
        <v>979</v>
      </c>
      <c r="G156" t="s">
        <v>980</v>
      </c>
    </row>
    <row r="157" spans="1:7" x14ac:dyDescent="0.35">
      <c r="A157" t="s">
        <v>981</v>
      </c>
      <c r="B157" t="s">
        <v>982</v>
      </c>
      <c r="C157" t="s">
        <v>983</v>
      </c>
      <c r="D157" t="s">
        <v>164</v>
      </c>
      <c r="E157" t="s">
        <v>984</v>
      </c>
      <c r="F157" t="s">
        <v>985</v>
      </c>
      <c r="G157" t="s">
        <v>986</v>
      </c>
    </row>
    <row r="158" spans="1:7" x14ac:dyDescent="0.35">
      <c r="A158" t="s">
        <v>987</v>
      </c>
      <c r="B158" t="s">
        <v>987</v>
      </c>
      <c r="C158" t="s">
        <v>988</v>
      </c>
      <c r="D158" t="s">
        <v>77</v>
      </c>
      <c r="E158" t="s">
        <v>989</v>
      </c>
      <c r="F158" t="s">
        <v>330</v>
      </c>
      <c r="G158" t="s">
        <v>990</v>
      </c>
    </row>
    <row r="159" spans="1:7" x14ac:dyDescent="0.35">
      <c r="A159" t="s">
        <v>991</v>
      </c>
      <c r="B159" t="s">
        <v>992</v>
      </c>
      <c r="C159" t="s">
        <v>993</v>
      </c>
      <c r="D159" t="s">
        <v>994</v>
      </c>
      <c r="E159" t="s">
        <v>995</v>
      </c>
      <c r="F159" t="s">
        <v>996</v>
      </c>
      <c r="G159" t="s">
        <v>997</v>
      </c>
    </row>
    <row r="160" spans="1:7" x14ac:dyDescent="0.35">
      <c r="A160" t="s">
        <v>998</v>
      </c>
      <c r="B160" t="s">
        <v>999</v>
      </c>
      <c r="C160" t="s">
        <v>1000</v>
      </c>
      <c r="D160" t="s">
        <v>198</v>
      </c>
      <c r="E160" t="s">
        <v>1001</v>
      </c>
      <c r="F160" t="s">
        <v>1002</v>
      </c>
      <c r="G160" t="s">
        <v>1003</v>
      </c>
    </row>
    <row r="161" spans="1:7" x14ac:dyDescent="0.35">
      <c r="A161" t="s">
        <v>1004</v>
      </c>
      <c r="B161" t="s">
        <v>1005</v>
      </c>
      <c r="C161" t="s">
        <v>1006</v>
      </c>
      <c r="D161" t="s">
        <v>1007</v>
      </c>
      <c r="E161" t="s">
        <v>1008</v>
      </c>
      <c r="F161" t="s">
        <v>1009</v>
      </c>
      <c r="G161" t="s">
        <v>1010</v>
      </c>
    </row>
    <row r="162" spans="1:7" x14ac:dyDescent="0.35">
      <c r="A162" t="s">
        <v>1011</v>
      </c>
      <c r="B162" t="s">
        <v>1012</v>
      </c>
      <c r="C162" t="s">
        <v>1013</v>
      </c>
      <c r="D162" t="s">
        <v>177</v>
      </c>
      <c r="E162" t="s">
        <v>1014</v>
      </c>
      <c r="F162" t="s">
        <v>330</v>
      </c>
      <c r="G162" t="s">
        <v>1003</v>
      </c>
    </row>
    <row r="163" spans="1:7" x14ac:dyDescent="0.35">
      <c r="A163" t="s">
        <v>1015</v>
      </c>
      <c r="B163" t="s">
        <v>1016</v>
      </c>
      <c r="C163" t="s">
        <v>1017</v>
      </c>
      <c r="D163" t="s">
        <v>1018</v>
      </c>
      <c r="E163" t="s">
        <v>1019</v>
      </c>
      <c r="F163" t="s">
        <v>1020</v>
      </c>
      <c r="G163" t="s">
        <v>1021</v>
      </c>
    </row>
    <row r="164" spans="1:7" x14ac:dyDescent="0.35">
      <c r="A164" t="s">
        <v>1022</v>
      </c>
      <c r="B164" t="s">
        <v>1023</v>
      </c>
      <c r="C164" t="s">
        <v>1024</v>
      </c>
      <c r="D164" t="s">
        <v>1025</v>
      </c>
      <c r="E164" t="s">
        <v>1026</v>
      </c>
      <c r="F164" t="s">
        <v>1027</v>
      </c>
      <c r="G164" t="s">
        <v>1028</v>
      </c>
    </row>
    <row r="165" spans="1:7" x14ac:dyDescent="0.35">
      <c r="A165" t="s">
        <v>1029</v>
      </c>
      <c r="B165" t="s">
        <v>1029</v>
      </c>
      <c r="C165" t="s">
        <v>1030</v>
      </c>
      <c r="D165" t="s">
        <v>1031</v>
      </c>
      <c r="E165" t="s">
        <v>1032</v>
      </c>
      <c r="F165" t="s">
        <v>1033</v>
      </c>
      <c r="G165" t="s">
        <v>1034</v>
      </c>
    </row>
    <row r="166" spans="1:7" x14ac:dyDescent="0.35">
      <c r="A166" t="s">
        <v>1035</v>
      </c>
      <c r="B166" t="s">
        <v>1036</v>
      </c>
      <c r="C166" t="s">
        <v>1037</v>
      </c>
      <c r="D166" t="s">
        <v>205</v>
      </c>
      <c r="E166" t="s">
        <v>1038</v>
      </c>
      <c r="F166" t="s">
        <v>1039</v>
      </c>
      <c r="G166" t="s">
        <v>1040</v>
      </c>
    </row>
    <row r="167" spans="1:7" x14ac:dyDescent="0.35">
      <c r="A167" t="s">
        <v>1041</v>
      </c>
      <c r="B167" t="s">
        <v>1042</v>
      </c>
      <c r="C167" t="s">
        <v>1043</v>
      </c>
      <c r="D167" t="s">
        <v>1044</v>
      </c>
      <c r="E167" t="s">
        <v>1045</v>
      </c>
      <c r="F167" t="s">
        <v>1046</v>
      </c>
      <c r="G167" t="s">
        <v>1047</v>
      </c>
    </row>
    <row r="168" spans="1:7" x14ac:dyDescent="0.35">
      <c r="A168" t="s">
        <v>1048</v>
      </c>
      <c r="B168" t="s">
        <v>1049</v>
      </c>
      <c r="C168" t="s">
        <v>1050</v>
      </c>
      <c r="D168" t="s">
        <v>198</v>
      </c>
      <c r="E168" t="s">
        <v>1051</v>
      </c>
      <c r="F168" t="s">
        <v>1052</v>
      </c>
      <c r="G168" t="s">
        <v>1053</v>
      </c>
    </row>
    <row r="169" spans="1:7" x14ac:dyDescent="0.35">
      <c r="A169" t="s">
        <v>1054</v>
      </c>
      <c r="B169" t="s">
        <v>1055</v>
      </c>
      <c r="C169" t="s">
        <v>1056</v>
      </c>
      <c r="D169" t="s">
        <v>1057</v>
      </c>
      <c r="E169" t="s">
        <v>1058</v>
      </c>
      <c r="F169" t="s">
        <v>1059</v>
      </c>
      <c r="G169" t="s">
        <v>1060</v>
      </c>
    </row>
    <row r="170" spans="1:7" x14ac:dyDescent="0.35">
      <c r="A170" t="s">
        <v>1061</v>
      </c>
      <c r="B170" t="s">
        <v>1062</v>
      </c>
      <c r="C170" t="s">
        <v>1063</v>
      </c>
      <c r="D170" t="s">
        <v>177</v>
      </c>
      <c r="E170" t="s">
        <v>1064</v>
      </c>
      <c r="F170" t="s">
        <v>1065</v>
      </c>
      <c r="G170" t="s">
        <v>1066</v>
      </c>
    </row>
    <row r="171" spans="1:7" x14ac:dyDescent="0.35">
      <c r="A171" t="s">
        <v>1067</v>
      </c>
      <c r="B171" t="s">
        <v>1068</v>
      </c>
      <c r="C171" t="s">
        <v>1069</v>
      </c>
      <c r="D171" t="s">
        <v>1070</v>
      </c>
      <c r="E171" t="s">
        <v>1071</v>
      </c>
      <c r="F171" t="s">
        <v>1072</v>
      </c>
      <c r="G171" t="s">
        <v>1073</v>
      </c>
    </row>
    <row r="172" spans="1:7" x14ac:dyDescent="0.35">
      <c r="A172" t="s">
        <v>1074</v>
      </c>
      <c r="B172" t="s">
        <v>1075</v>
      </c>
      <c r="C172" t="s">
        <v>1076</v>
      </c>
      <c r="D172" t="s">
        <v>1077</v>
      </c>
      <c r="E172" t="s">
        <v>1078</v>
      </c>
      <c r="F172" t="s">
        <v>1079</v>
      </c>
      <c r="G172" t="s">
        <v>1080</v>
      </c>
    </row>
    <row r="173" spans="1:7" x14ac:dyDescent="0.35">
      <c r="A173" t="s">
        <v>1081</v>
      </c>
      <c r="B173" t="s">
        <v>1082</v>
      </c>
      <c r="C173" t="s">
        <v>1083</v>
      </c>
      <c r="D173" t="s">
        <v>70</v>
      </c>
      <c r="E173" t="s">
        <v>1084</v>
      </c>
      <c r="F173" t="s">
        <v>1085</v>
      </c>
      <c r="G173" t="s">
        <v>1086</v>
      </c>
    </row>
    <row r="174" spans="1:7" x14ac:dyDescent="0.35">
      <c r="A174" t="s">
        <v>1087</v>
      </c>
      <c r="B174" t="s">
        <v>1088</v>
      </c>
      <c r="C174" t="s">
        <v>1089</v>
      </c>
      <c r="D174" t="s">
        <v>177</v>
      </c>
      <c r="E174" t="s">
        <v>1090</v>
      </c>
      <c r="F174" t="s">
        <v>330</v>
      </c>
      <c r="G174" t="s">
        <v>318</v>
      </c>
    </row>
    <row r="175" spans="1:7" x14ac:dyDescent="0.35">
      <c r="A175" t="s">
        <v>1091</v>
      </c>
      <c r="B175" t="s">
        <v>1092</v>
      </c>
      <c r="C175" t="s">
        <v>1093</v>
      </c>
      <c r="D175" t="s">
        <v>684</v>
      </c>
      <c r="E175" t="s">
        <v>1094</v>
      </c>
      <c r="F175" t="s">
        <v>1095</v>
      </c>
      <c r="G175" t="s">
        <v>1096</v>
      </c>
    </row>
    <row r="176" spans="1:7" x14ac:dyDescent="0.35">
      <c r="A176" t="s">
        <v>1097</v>
      </c>
      <c r="B176" t="s">
        <v>1098</v>
      </c>
      <c r="C176" t="s">
        <v>1099</v>
      </c>
      <c r="D176" t="s">
        <v>1100</v>
      </c>
      <c r="E176" t="s">
        <v>1101</v>
      </c>
      <c r="F176" t="s">
        <v>1102</v>
      </c>
      <c r="G176" t="s">
        <v>1103</v>
      </c>
    </row>
    <row r="177" spans="1:7" x14ac:dyDescent="0.35">
      <c r="A177" t="s">
        <v>1104</v>
      </c>
      <c r="B177" t="s">
        <v>1105</v>
      </c>
      <c r="C177" t="s">
        <v>1106</v>
      </c>
      <c r="D177" t="s">
        <v>518</v>
      </c>
      <c r="E177" t="s">
        <v>1107</v>
      </c>
      <c r="F177" t="s">
        <v>1108</v>
      </c>
      <c r="G177" t="s">
        <v>1109</v>
      </c>
    </row>
    <row r="178" spans="1:7" x14ac:dyDescent="0.35">
      <c r="A178" t="s">
        <v>1110</v>
      </c>
      <c r="B178" t="s">
        <v>1111</v>
      </c>
      <c r="C178" t="s">
        <v>1112</v>
      </c>
      <c r="D178" t="s">
        <v>130</v>
      </c>
      <c r="E178" t="s">
        <v>1113</v>
      </c>
      <c r="F178" t="s">
        <v>1114</v>
      </c>
      <c r="G178" t="s">
        <v>1115</v>
      </c>
    </row>
    <row r="179" spans="1:7" x14ac:dyDescent="0.35">
      <c r="A179" t="s">
        <v>1116</v>
      </c>
      <c r="B179" t="s">
        <v>1117</v>
      </c>
      <c r="C179" t="s">
        <v>1118</v>
      </c>
      <c r="D179" t="s">
        <v>1119</v>
      </c>
      <c r="E179" t="s">
        <v>1120</v>
      </c>
      <c r="F179" t="s">
        <v>1121</v>
      </c>
      <c r="G179" t="s">
        <v>1122</v>
      </c>
    </row>
    <row r="180" spans="1:7" x14ac:dyDescent="0.35">
      <c r="A180" t="s">
        <v>1123</v>
      </c>
      <c r="B180" t="s">
        <v>1124</v>
      </c>
      <c r="C180" t="s">
        <v>1125</v>
      </c>
      <c r="D180" t="s">
        <v>342</v>
      </c>
      <c r="E180" t="s">
        <v>1126</v>
      </c>
      <c r="F180" t="s">
        <v>1127</v>
      </c>
      <c r="G180" t="s">
        <v>1128</v>
      </c>
    </row>
    <row r="181" spans="1:7" x14ac:dyDescent="0.35">
      <c r="A181" t="s">
        <v>1129</v>
      </c>
      <c r="B181" t="s">
        <v>1130</v>
      </c>
      <c r="C181" t="s">
        <v>1131</v>
      </c>
      <c r="D181" t="s">
        <v>1132</v>
      </c>
      <c r="E181" t="s">
        <v>1133</v>
      </c>
      <c r="F181" t="s">
        <v>1134</v>
      </c>
      <c r="G181" t="s">
        <v>1135</v>
      </c>
    </row>
    <row r="182" spans="1:7" x14ac:dyDescent="0.35">
      <c r="A182" t="s">
        <v>1136</v>
      </c>
      <c r="B182" t="s">
        <v>1137</v>
      </c>
      <c r="C182" t="s">
        <v>1138</v>
      </c>
      <c r="D182" t="s">
        <v>387</v>
      </c>
      <c r="E182" t="s">
        <v>1139</v>
      </c>
      <c r="F182" t="s">
        <v>1140</v>
      </c>
      <c r="G182" t="s">
        <v>1141</v>
      </c>
    </row>
    <row r="183" spans="1:7" x14ac:dyDescent="0.35">
      <c r="A183" t="s">
        <v>1142</v>
      </c>
      <c r="B183" t="s">
        <v>1143</v>
      </c>
      <c r="C183" t="s">
        <v>1144</v>
      </c>
      <c r="D183" t="s">
        <v>290</v>
      </c>
      <c r="E183" t="s">
        <v>1145</v>
      </c>
      <c r="F183" t="s">
        <v>1146</v>
      </c>
      <c r="G183" t="s">
        <v>1147</v>
      </c>
    </row>
    <row r="184" spans="1:7" x14ac:dyDescent="0.35">
      <c r="A184" t="s">
        <v>1148</v>
      </c>
      <c r="B184" t="s">
        <v>1149</v>
      </c>
      <c r="C184" t="s">
        <v>1150</v>
      </c>
      <c r="D184" t="s">
        <v>191</v>
      </c>
      <c r="E184" t="s">
        <v>1151</v>
      </c>
      <c r="F184" t="s">
        <v>1152</v>
      </c>
      <c r="G184" t="s">
        <v>1153</v>
      </c>
    </row>
    <row r="185" spans="1:7" x14ac:dyDescent="0.35">
      <c r="A185" t="s">
        <v>1154</v>
      </c>
      <c r="B185" t="s">
        <v>1155</v>
      </c>
      <c r="C185" t="s">
        <v>1156</v>
      </c>
      <c r="D185" t="s">
        <v>130</v>
      </c>
      <c r="E185" t="s">
        <v>1157</v>
      </c>
      <c r="F185" t="s">
        <v>1158</v>
      </c>
      <c r="G185" t="s">
        <v>1159</v>
      </c>
    </row>
    <row r="186" spans="1:7" x14ac:dyDescent="0.35">
      <c r="A186" t="s">
        <v>1160</v>
      </c>
      <c r="B186" t="s">
        <v>1161</v>
      </c>
      <c r="C186" t="s">
        <v>1162</v>
      </c>
      <c r="D186" t="s">
        <v>177</v>
      </c>
      <c r="E186" t="s">
        <v>1163</v>
      </c>
      <c r="F186" t="s">
        <v>330</v>
      </c>
      <c r="G186" t="s">
        <v>1164</v>
      </c>
    </row>
    <row r="187" spans="1:7" x14ac:dyDescent="0.35">
      <c r="A187" t="s">
        <v>1165</v>
      </c>
      <c r="B187" t="s">
        <v>1166</v>
      </c>
      <c r="C187" t="s">
        <v>1167</v>
      </c>
      <c r="D187" t="s">
        <v>684</v>
      </c>
      <c r="E187" t="s">
        <v>1168</v>
      </c>
      <c r="F187" t="s">
        <v>1169</v>
      </c>
      <c r="G187" t="s">
        <v>1170</v>
      </c>
    </row>
    <row r="188" spans="1:7" x14ac:dyDescent="0.35">
      <c r="A188" t="s">
        <v>1171</v>
      </c>
      <c r="B188" t="s">
        <v>1172</v>
      </c>
      <c r="C188" t="s">
        <v>1173</v>
      </c>
      <c r="D188" t="s">
        <v>123</v>
      </c>
      <c r="E188" t="s">
        <v>1174</v>
      </c>
      <c r="F188" t="s">
        <v>1175</v>
      </c>
      <c r="G188" t="s">
        <v>1176</v>
      </c>
    </row>
    <row r="189" spans="1:7" x14ac:dyDescent="0.35">
      <c r="A189" t="s">
        <v>1177</v>
      </c>
      <c r="B189" t="s">
        <v>1178</v>
      </c>
      <c r="C189" t="s">
        <v>1179</v>
      </c>
      <c r="D189" t="s">
        <v>1180</v>
      </c>
      <c r="E189" t="s">
        <v>1181</v>
      </c>
      <c r="F189" t="s">
        <v>1182</v>
      </c>
      <c r="G189" t="s">
        <v>1183</v>
      </c>
    </row>
    <row r="190" spans="1:7" x14ac:dyDescent="0.35">
      <c r="A190" t="s">
        <v>1184</v>
      </c>
      <c r="B190" t="s">
        <v>1185</v>
      </c>
      <c r="C190" t="s">
        <v>1186</v>
      </c>
      <c r="D190" t="s">
        <v>1187</v>
      </c>
      <c r="E190" t="s">
        <v>1188</v>
      </c>
      <c r="F190" t="s">
        <v>1189</v>
      </c>
      <c r="G190" t="s">
        <v>1190</v>
      </c>
    </row>
    <row r="191" spans="1:7" x14ac:dyDescent="0.35">
      <c r="A191" t="s">
        <v>1191</v>
      </c>
      <c r="B191" t="s">
        <v>1192</v>
      </c>
      <c r="C191" t="s">
        <v>1193</v>
      </c>
      <c r="D191" t="s">
        <v>177</v>
      </c>
      <c r="E191" t="s">
        <v>1194</v>
      </c>
      <c r="F191" t="s">
        <v>330</v>
      </c>
      <c r="G191" t="s">
        <v>836</v>
      </c>
    </row>
    <row r="192" spans="1:7" x14ac:dyDescent="0.35">
      <c r="A192" t="s">
        <v>1195</v>
      </c>
      <c r="B192" t="s">
        <v>1196</v>
      </c>
      <c r="C192" t="s">
        <v>1197</v>
      </c>
      <c r="D192" t="s">
        <v>198</v>
      </c>
      <c r="E192" t="s">
        <v>1198</v>
      </c>
      <c r="F192" t="s">
        <v>1199</v>
      </c>
      <c r="G192" t="s">
        <v>1200</v>
      </c>
    </row>
    <row r="193" spans="1:7" x14ac:dyDescent="0.35">
      <c r="A193" t="s">
        <v>1201</v>
      </c>
      <c r="B193" t="s">
        <v>1202</v>
      </c>
      <c r="C193" t="s">
        <v>1203</v>
      </c>
      <c r="D193" t="s">
        <v>1204</v>
      </c>
      <c r="E193" t="s">
        <v>1205</v>
      </c>
      <c r="F193" t="s">
        <v>1206</v>
      </c>
      <c r="G193" t="s">
        <v>318</v>
      </c>
    </row>
    <row r="194" spans="1:7" x14ac:dyDescent="0.35">
      <c r="A194" t="s">
        <v>1207</v>
      </c>
      <c r="B194" t="s">
        <v>1208</v>
      </c>
      <c r="C194" t="s">
        <v>1209</v>
      </c>
      <c r="D194" t="s">
        <v>1070</v>
      </c>
      <c r="E194" t="s">
        <v>1210</v>
      </c>
      <c r="F194" t="s">
        <v>1211</v>
      </c>
      <c r="G194" t="s">
        <v>1212</v>
      </c>
    </row>
    <row r="195" spans="1:7" x14ac:dyDescent="0.35">
      <c r="A195" t="s">
        <v>1213</v>
      </c>
      <c r="B195" t="s">
        <v>1214</v>
      </c>
      <c r="C195" t="s">
        <v>1215</v>
      </c>
      <c r="D195" t="s">
        <v>387</v>
      </c>
      <c r="E195" t="s">
        <v>1216</v>
      </c>
      <c r="F195" t="s">
        <v>1217</v>
      </c>
      <c r="G195" t="s">
        <v>1218</v>
      </c>
    </row>
    <row r="196" spans="1:7" x14ac:dyDescent="0.35">
      <c r="A196" t="s">
        <v>1219</v>
      </c>
      <c r="B196" t="s">
        <v>1220</v>
      </c>
      <c r="C196" t="s">
        <v>1221</v>
      </c>
      <c r="D196" t="s">
        <v>290</v>
      </c>
      <c r="E196" t="s">
        <v>1222</v>
      </c>
      <c r="F196" t="s">
        <v>1223</v>
      </c>
      <c r="G196" t="s">
        <v>1224</v>
      </c>
    </row>
    <row r="197" spans="1:7" x14ac:dyDescent="0.35">
      <c r="A197" t="s">
        <v>1225</v>
      </c>
      <c r="B197" t="s">
        <v>1226</v>
      </c>
      <c r="C197" t="s">
        <v>1227</v>
      </c>
      <c r="D197" t="s">
        <v>1228</v>
      </c>
      <c r="E197" t="s">
        <v>1229</v>
      </c>
      <c r="F197" t="s">
        <v>1230</v>
      </c>
      <c r="G197" t="s">
        <v>113</v>
      </c>
    </row>
    <row r="198" spans="1:7" x14ac:dyDescent="0.35">
      <c r="A198" t="s">
        <v>1231</v>
      </c>
      <c r="B198" t="s">
        <v>1232</v>
      </c>
      <c r="C198" t="s">
        <v>1233</v>
      </c>
      <c r="D198" t="s">
        <v>157</v>
      </c>
      <c r="E198" t="s">
        <v>1234</v>
      </c>
      <c r="F198" t="s">
        <v>1235</v>
      </c>
      <c r="G198" t="s">
        <v>1236</v>
      </c>
    </row>
    <row r="199" spans="1:7" x14ac:dyDescent="0.35">
      <c r="A199" t="s">
        <v>1237</v>
      </c>
      <c r="B199" t="s">
        <v>1238</v>
      </c>
      <c r="C199" t="s">
        <v>1239</v>
      </c>
      <c r="D199" t="s">
        <v>177</v>
      </c>
      <c r="E199" t="s">
        <v>1240</v>
      </c>
      <c r="F199" t="s">
        <v>1241</v>
      </c>
      <c r="G199" t="s">
        <v>1242</v>
      </c>
    </row>
    <row r="200" spans="1:7" x14ac:dyDescent="0.35">
      <c r="A200" t="s">
        <v>1243</v>
      </c>
      <c r="B200" t="s">
        <v>1243</v>
      </c>
      <c r="C200" t="s">
        <v>1244</v>
      </c>
      <c r="D200" t="s">
        <v>1245</v>
      </c>
      <c r="E200" t="s">
        <v>1246</v>
      </c>
      <c r="F200" t="s">
        <v>1247</v>
      </c>
      <c r="G200" t="s">
        <v>1248</v>
      </c>
    </row>
    <row r="201" spans="1:7" x14ac:dyDescent="0.35">
      <c r="A201" t="s">
        <v>1249</v>
      </c>
      <c r="B201" t="s">
        <v>1250</v>
      </c>
      <c r="C201" t="s">
        <v>1251</v>
      </c>
      <c r="D201" t="s">
        <v>177</v>
      </c>
      <c r="E201" t="s">
        <v>1252</v>
      </c>
      <c r="F201" t="s">
        <v>330</v>
      </c>
      <c r="G201" t="s">
        <v>594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2DE70-8D30-4A36-8C64-0D6262D9B074}">
  <dimension ref="A1:K188"/>
  <sheetViews>
    <sheetView topLeftCell="A2" zoomScale="66" zoomScaleNormal="85" workbookViewId="0">
      <selection activeCell="G22" sqref="G22"/>
    </sheetView>
  </sheetViews>
  <sheetFormatPr defaultRowHeight="14.5" x14ac:dyDescent="0.35"/>
  <cols>
    <col min="1" max="1" width="32.08984375" bestFit="1" customWidth="1"/>
    <col min="2" max="2" width="9.90625" bestFit="1" customWidth="1"/>
    <col min="3" max="3" width="12.36328125" bestFit="1" customWidth="1"/>
    <col min="4" max="4" width="15" bestFit="1" customWidth="1"/>
    <col min="5" max="5" width="12.90625" bestFit="1" customWidth="1"/>
    <col min="6" max="6" width="18.36328125" bestFit="1" customWidth="1"/>
    <col min="7" max="7" width="18" bestFit="1" customWidth="1"/>
    <col min="8" max="8" width="20.90625" bestFit="1" customWidth="1"/>
    <col min="9" max="9" width="24.1796875" customWidth="1"/>
    <col min="10" max="10" width="10.90625" customWidth="1"/>
    <col min="11" max="11" width="13" customWidth="1"/>
  </cols>
  <sheetData>
    <row r="1" spans="1:11" x14ac:dyDescent="0.35">
      <c r="A1" t="s">
        <v>0</v>
      </c>
      <c r="B1" t="s">
        <v>1</v>
      </c>
      <c r="C1" t="s">
        <v>2</v>
      </c>
      <c r="D1" t="s">
        <v>3</v>
      </c>
      <c r="E1" t="s">
        <v>4</v>
      </c>
      <c r="F1" t="s">
        <v>5</v>
      </c>
      <c r="G1" t="s">
        <v>6</v>
      </c>
      <c r="H1" t="s">
        <v>1253</v>
      </c>
      <c r="I1" t="s">
        <v>1254</v>
      </c>
      <c r="J1" t="s">
        <v>1255</v>
      </c>
      <c r="K1" t="s">
        <v>1256</v>
      </c>
    </row>
    <row r="2" spans="1:11" x14ac:dyDescent="0.35">
      <c r="A2" t="s">
        <v>7</v>
      </c>
      <c r="B2" t="s">
        <v>8</v>
      </c>
      <c r="C2">
        <v>112396.23</v>
      </c>
      <c r="D2">
        <v>6.7999999999999996E-3</v>
      </c>
      <c r="E2">
        <v>2236591973065</v>
      </c>
      <c r="F2">
        <v>61196410006</v>
      </c>
      <c r="G2" t="s">
        <v>13</v>
      </c>
      <c r="H2">
        <v>19910000</v>
      </c>
      <c r="I2">
        <f>Cleaned_Data[[#This Row],[Volume (24h) USD]]/Cleaned_Data[[#This Row],[Circulating_Supply($)]]</f>
        <v>3073.6519340030136</v>
      </c>
      <c r="J2">
        <f>RANK(Cleaned_Data[[#This Row],[Market Cap]],Cleaned_Data[Market Cap],0)</f>
        <v>1</v>
      </c>
      <c r="K2" t="str">
        <f t="shared" ref="K2:K33" si="0">IF(C2&lt;=0.5,"0-0.5",
 IF(C2&lt;=1,"0.5-1",
  IF(C2&lt;=2,"1-2",
   IF(C2&lt;=10,"2-10",
    IF(C2&lt;=100,"10-100",
     IF(C2&lt;=10000,"100-10000",
      "10000+"))))))</f>
        <v>10000+</v>
      </c>
    </row>
    <row r="3" spans="1:11" x14ac:dyDescent="0.35">
      <c r="A3" t="s">
        <v>14</v>
      </c>
      <c r="B3" t="s">
        <v>15</v>
      </c>
      <c r="C3">
        <v>4631.6899999999996</v>
      </c>
      <c r="D3">
        <v>4.3E-3</v>
      </c>
      <c r="E3">
        <v>558774287294</v>
      </c>
      <c r="F3">
        <v>43714609700</v>
      </c>
      <c r="G3" t="s">
        <v>20</v>
      </c>
      <c r="H3">
        <v>120700000</v>
      </c>
      <c r="I3">
        <f>Cleaned_Data[[#This Row],[Volume (24h) USD]]/Cleaned_Data[[#This Row],[Circulating_Supply($)]]</f>
        <v>362.17572245236124</v>
      </c>
      <c r="J3">
        <f>RANK(Cleaned_Data[[#This Row],[Market Cap]],Cleaned_Data[Market Cap],0)</f>
        <v>2</v>
      </c>
      <c r="K3" t="str">
        <f t="shared" si="0"/>
        <v>100-10000</v>
      </c>
    </row>
    <row r="4" spans="1:11" x14ac:dyDescent="0.35">
      <c r="A4" t="s">
        <v>21</v>
      </c>
      <c r="B4" t="s">
        <v>21</v>
      </c>
      <c r="C4">
        <v>3.02</v>
      </c>
      <c r="D4">
        <v>4.4999999999999997E-3</v>
      </c>
      <c r="E4">
        <v>179761935139</v>
      </c>
      <c r="F4">
        <v>6447508710</v>
      </c>
      <c r="G4" t="s">
        <v>26</v>
      </c>
      <c r="H4">
        <v>59480000000</v>
      </c>
      <c r="I4">
        <f>Cleaned_Data[[#This Row],[Volume (24h) USD]]/Cleaned_Data[[#This Row],[Circulating_Supply($)]]</f>
        <v>0.10839792720242099</v>
      </c>
      <c r="J4">
        <f>RANK(Cleaned_Data[[#This Row],[Market Cap]],Cleaned_Data[Market Cap],0)</f>
        <v>3</v>
      </c>
      <c r="K4" t="str">
        <f t="shared" si="0"/>
        <v>2-10</v>
      </c>
    </row>
    <row r="5" spans="1:11" x14ac:dyDescent="0.35">
      <c r="A5" t="s">
        <v>27</v>
      </c>
      <c r="B5" t="s">
        <v>28</v>
      </c>
      <c r="C5">
        <v>1</v>
      </c>
      <c r="D5">
        <v>6.9999999999999999E-4</v>
      </c>
      <c r="E5">
        <v>167211922205</v>
      </c>
      <c r="F5">
        <v>117252093277</v>
      </c>
      <c r="G5" t="s">
        <v>33</v>
      </c>
      <c r="H5">
        <v>167200000000</v>
      </c>
      <c r="I5">
        <f>Cleaned_Data[[#This Row],[Volume (24h) USD]]/Cleaned_Data[[#This Row],[Circulating_Supply($)]]</f>
        <v>0.70126850046052636</v>
      </c>
      <c r="J5">
        <f>RANK(Cleaned_Data[[#This Row],[Market Cap]],Cleaned_Data[Market Cap],0)</f>
        <v>4</v>
      </c>
      <c r="K5" t="str">
        <f t="shared" si="0"/>
        <v>0.5-1</v>
      </c>
    </row>
    <row r="6" spans="1:11" x14ac:dyDescent="0.35">
      <c r="A6" t="s">
        <v>34</v>
      </c>
      <c r="B6" t="s">
        <v>34</v>
      </c>
      <c r="C6">
        <v>864.91</v>
      </c>
      <c r="D6">
        <v>2.3999999999999998E-3</v>
      </c>
      <c r="E6">
        <v>120460279991</v>
      </c>
      <c r="F6">
        <v>2278674127</v>
      </c>
      <c r="G6" t="s">
        <v>39</v>
      </c>
      <c r="H6">
        <v>139280000</v>
      </c>
      <c r="I6">
        <f>Cleaned_Data[[#This Row],[Volume (24h) USD]]/Cleaned_Data[[#This Row],[Circulating_Supply($)]]</f>
        <v>16.360382876220562</v>
      </c>
      <c r="J6">
        <f>RANK(Cleaned_Data[[#This Row],[Market Cap]],Cleaned_Data[Market Cap],0)</f>
        <v>5</v>
      </c>
      <c r="K6" t="str">
        <f t="shared" si="0"/>
        <v>100-10000</v>
      </c>
    </row>
    <row r="7" spans="1:11" x14ac:dyDescent="0.35">
      <c r="A7" t="s">
        <v>40</v>
      </c>
      <c r="B7" t="s">
        <v>41</v>
      </c>
      <c r="C7">
        <v>208.97</v>
      </c>
      <c r="D7">
        <v>7.7999999999999996E-3</v>
      </c>
      <c r="E7">
        <v>112989075044</v>
      </c>
      <c r="F7">
        <v>10127054144</v>
      </c>
      <c r="G7" t="s">
        <v>46</v>
      </c>
      <c r="H7">
        <v>540670000</v>
      </c>
      <c r="I7">
        <f>Cleaned_Data[[#This Row],[Volume (24h) USD]]/Cleaned_Data[[#This Row],[Circulating_Supply($)]]</f>
        <v>18.730564196274994</v>
      </c>
      <c r="J7">
        <f>RANK(Cleaned_Data[[#This Row],[Market Cap]],Cleaned_Data[Market Cap],0)</f>
        <v>6</v>
      </c>
      <c r="K7" t="str">
        <f t="shared" si="0"/>
        <v>100-10000</v>
      </c>
    </row>
    <row r="8" spans="1:11" x14ac:dyDescent="0.35">
      <c r="A8" t="s">
        <v>47</v>
      </c>
      <c r="B8" t="s">
        <v>47</v>
      </c>
      <c r="C8">
        <v>0.99970000000000003</v>
      </c>
      <c r="D8">
        <v>5.9999999999999995E-4</v>
      </c>
      <c r="E8">
        <v>69140705171</v>
      </c>
      <c r="F8">
        <v>17027792821</v>
      </c>
      <c r="G8" t="s">
        <v>52</v>
      </c>
      <c r="H8">
        <v>69150000000</v>
      </c>
      <c r="I8">
        <f>Cleaned_Data[[#This Row],[Volume (24h) USD]]/Cleaned_Data[[#This Row],[Circulating_Supply($)]]</f>
        <v>0.24624429242227042</v>
      </c>
      <c r="J8">
        <f>RANK(Cleaned_Data[[#This Row],[Market Cap]],Cleaned_Data[Market Cap],0)</f>
        <v>7</v>
      </c>
      <c r="K8" t="str">
        <f t="shared" si="0"/>
        <v>0.5-1</v>
      </c>
    </row>
    <row r="9" spans="1:11" x14ac:dyDescent="0.35">
      <c r="A9" t="s">
        <v>53</v>
      </c>
      <c r="B9" t="s">
        <v>54</v>
      </c>
      <c r="C9">
        <v>0.22170000000000001</v>
      </c>
      <c r="D9">
        <v>6.7000000000000002E-3</v>
      </c>
      <c r="E9">
        <v>33418883909</v>
      </c>
      <c r="F9">
        <v>1961967012</v>
      </c>
      <c r="G9" t="s">
        <v>59</v>
      </c>
      <c r="H9">
        <v>150690000000</v>
      </c>
      <c r="I9">
        <f>Cleaned_Data[[#This Row],[Volume (24h) USD]]/Cleaned_Data[[#This Row],[Circulating_Supply($)]]</f>
        <v>1.3019888592474617E-2</v>
      </c>
      <c r="J9">
        <f>RANK(Cleaned_Data[[#This Row],[Market Cap]],Cleaned_Data[Market Cap],0)</f>
        <v>8</v>
      </c>
      <c r="K9" t="str">
        <f t="shared" si="0"/>
        <v>0-0.5</v>
      </c>
    </row>
    <row r="10" spans="1:11" x14ac:dyDescent="0.35">
      <c r="A10" t="s">
        <v>60</v>
      </c>
      <c r="B10" t="s">
        <v>61</v>
      </c>
      <c r="C10">
        <v>0.35020000000000001</v>
      </c>
      <c r="D10">
        <v>1E-3</v>
      </c>
      <c r="E10">
        <v>33151724508</v>
      </c>
      <c r="F10">
        <v>973139421</v>
      </c>
      <c r="G10" t="s">
        <v>66</v>
      </c>
      <c r="H10">
        <v>94660000000</v>
      </c>
      <c r="I10">
        <f>Cleaned_Data[[#This Row],[Volume (24h) USD]]/Cleaned_Data[[#This Row],[Circulating_Supply($)]]</f>
        <v>1.0280365740545109E-2</v>
      </c>
      <c r="J10">
        <f>RANK(Cleaned_Data[[#This Row],[Market Cap]],Cleaned_Data[Market Cap],0)</f>
        <v>9</v>
      </c>
      <c r="K10" t="str">
        <f t="shared" si="0"/>
        <v>0-0.5</v>
      </c>
    </row>
    <row r="11" spans="1:11" x14ac:dyDescent="0.35">
      <c r="A11" t="s">
        <v>67</v>
      </c>
      <c r="B11" t="s">
        <v>68</v>
      </c>
      <c r="C11">
        <v>0.86929999999999996</v>
      </c>
      <c r="D11">
        <v>3.2000000000000002E-3</v>
      </c>
      <c r="E11">
        <v>31055700401</v>
      </c>
      <c r="F11">
        <v>1153461846</v>
      </c>
      <c r="G11" t="s">
        <v>73</v>
      </c>
      <c r="H11">
        <v>35720000000</v>
      </c>
      <c r="I11">
        <f>Cleaned_Data[[#This Row],[Volume (24h) USD]]/Cleaned_Data[[#This Row],[Circulating_Supply($)]]</f>
        <v>3.2291765005599105E-2</v>
      </c>
      <c r="J11">
        <f>RANK(Cleaned_Data[[#This Row],[Market Cap]],Cleaned_Data[Market Cap],0)</f>
        <v>10</v>
      </c>
      <c r="K11" t="str">
        <f t="shared" si="0"/>
        <v>0.5-1</v>
      </c>
    </row>
    <row r="12" spans="1:11" x14ac:dyDescent="0.35">
      <c r="A12" t="s">
        <v>74</v>
      </c>
      <c r="B12" t="s">
        <v>75</v>
      </c>
      <c r="C12">
        <v>0.99950000000000006</v>
      </c>
      <c r="D12">
        <v>1E-4</v>
      </c>
      <c r="E12">
        <v>687657857</v>
      </c>
      <c r="F12">
        <v>64711407</v>
      </c>
      <c r="G12" t="s">
        <v>80</v>
      </c>
      <c r="H12">
        <v>687950000</v>
      </c>
      <c r="I12">
        <f>Cleaned_Data[[#This Row],[Volume (24h) USD]]/Cleaned_Data[[#This Row],[Circulating_Supply($)]]</f>
        <v>9.4064113671051677E-2</v>
      </c>
      <c r="J12">
        <f>RANK(Cleaned_Data[[#This Row],[Market Cap]],Cleaned_Data[Market Cap],0)</f>
        <v>16</v>
      </c>
      <c r="K12" t="str">
        <f t="shared" si="0"/>
        <v>0.5-1</v>
      </c>
    </row>
    <row r="13" spans="1:11" x14ac:dyDescent="0.35">
      <c r="A13" t="s">
        <v>81</v>
      </c>
      <c r="B13" t="s">
        <v>82</v>
      </c>
      <c r="C13">
        <v>42.45</v>
      </c>
      <c r="D13">
        <v>8.0000000000000002E-3</v>
      </c>
      <c r="E13">
        <v>687228061</v>
      </c>
      <c r="F13">
        <v>71132312</v>
      </c>
      <c r="G13" t="s">
        <v>87</v>
      </c>
      <c r="H13">
        <v>16180000</v>
      </c>
      <c r="I13">
        <f>Cleaned_Data[[#This Row],[Volume (24h) USD]]/Cleaned_Data[[#This Row],[Circulating_Supply($)]]</f>
        <v>4.3963110012360938</v>
      </c>
      <c r="J13">
        <f>RANK(Cleaned_Data[[#This Row],[Market Cap]],Cleaned_Data[Market Cap],0)</f>
        <v>17</v>
      </c>
      <c r="K13" t="str">
        <f t="shared" si="0"/>
        <v>10-100</v>
      </c>
    </row>
    <row r="14" spans="1:11" x14ac:dyDescent="0.35">
      <c r="A14" t="s">
        <v>88</v>
      </c>
      <c r="B14" t="s">
        <v>88</v>
      </c>
      <c r="C14">
        <v>9.1999999999999998E-3</v>
      </c>
      <c r="D14">
        <v>3.0000000000000001E-3</v>
      </c>
      <c r="E14">
        <v>683949558</v>
      </c>
      <c r="F14">
        <v>29038108</v>
      </c>
      <c r="G14" t="s">
        <v>93</v>
      </c>
      <c r="H14">
        <v>74480000000</v>
      </c>
      <c r="I14">
        <f>Cleaned_Data[[#This Row],[Volume (24h) USD]]/Cleaned_Data[[#This Row],[Circulating_Supply($)]]</f>
        <v>3.898779269602578E-4</v>
      </c>
      <c r="J14">
        <f>RANK(Cleaned_Data[[#This Row],[Market Cap]],Cleaned_Data[Market Cap],0)</f>
        <v>18</v>
      </c>
      <c r="K14" t="str">
        <f t="shared" si="0"/>
        <v>0-0.5</v>
      </c>
    </row>
    <row r="15" spans="1:11" x14ac:dyDescent="0.35">
      <c r="A15" t="s">
        <v>94</v>
      </c>
      <c r="B15" t="s">
        <v>95</v>
      </c>
      <c r="C15">
        <v>0.1171</v>
      </c>
      <c r="D15">
        <v>5.1999999999999998E-3</v>
      </c>
      <c r="E15">
        <v>673440961</v>
      </c>
      <c r="F15">
        <v>24411942</v>
      </c>
      <c r="G15" t="s">
        <v>100</v>
      </c>
      <c r="H15">
        <v>5740000000</v>
      </c>
      <c r="I15">
        <f>Cleaned_Data[[#This Row],[Volume (24h) USD]]/Cleaned_Data[[#This Row],[Circulating_Supply($)]]</f>
        <v>4.2529515679442511E-3</v>
      </c>
      <c r="J15">
        <f>RANK(Cleaned_Data[[#This Row],[Market Cap]],Cleaned_Data[Market Cap],0)</f>
        <v>19</v>
      </c>
      <c r="K15" t="str">
        <f t="shared" si="0"/>
        <v>0-0.5</v>
      </c>
    </row>
    <row r="16" spans="1:11" x14ac:dyDescent="0.35">
      <c r="A16" t="s">
        <v>101</v>
      </c>
      <c r="B16" t="s">
        <v>102</v>
      </c>
      <c r="C16">
        <v>6.6699999999999995E-2</v>
      </c>
      <c r="D16">
        <v>5.9999999999999995E-4</v>
      </c>
      <c r="E16">
        <v>656968217</v>
      </c>
      <c r="F16">
        <v>29706225</v>
      </c>
      <c r="G16" t="s">
        <v>106</v>
      </c>
      <c r="H16">
        <v>986060000000000</v>
      </c>
      <c r="I16">
        <f>Cleaned_Data[[#This Row],[Volume (24h) USD]]/Cleaned_Data[[#This Row],[Circulating_Supply($)]]</f>
        <v>3.0126184005030119E-8</v>
      </c>
      <c r="J16">
        <f>RANK(Cleaned_Data[[#This Row],[Market Cap]],Cleaned_Data[Market Cap],0)</f>
        <v>20</v>
      </c>
      <c r="K16" t="str">
        <f t="shared" si="0"/>
        <v>0-0.5</v>
      </c>
    </row>
    <row r="17" spans="1:11" x14ac:dyDescent="0.35">
      <c r="A17" t="s">
        <v>107</v>
      </c>
      <c r="B17" t="s">
        <v>108</v>
      </c>
      <c r="C17">
        <v>0.39090000000000003</v>
      </c>
      <c r="D17">
        <v>1.5E-3</v>
      </c>
      <c r="E17">
        <v>626962319</v>
      </c>
      <c r="F17">
        <v>21684159</v>
      </c>
      <c r="G17" t="s">
        <v>113</v>
      </c>
      <c r="H17">
        <v>1600000000</v>
      </c>
      <c r="I17">
        <f>Cleaned_Data[[#This Row],[Volume (24h) USD]]/Cleaned_Data[[#This Row],[Circulating_Supply($)]]</f>
        <v>1.3552599375E-2</v>
      </c>
      <c r="J17">
        <f>RANK(Cleaned_Data[[#This Row],[Market Cap]],Cleaned_Data[Market Cap],0)</f>
        <v>22</v>
      </c>
      <c r="K17" t="str">
        <f t="shared" si="0"/>
        <v>0-0.5</v>
      </c>
    </row>
    <row r="18" spans="1:11" x14ac:dyDescent="0.35">
      <c r="A18" t="s">
        <v>114</v>
      </c>
      <c r="B18" t="s">
        <v>115</v>
      </c>
      <c r="C18">
        <v>7.42</v>
      </c>
      <c r="D18">
        <v>3.0000000000000001E-3</v>
      </c>
      <c r="E18">
        <v>621864440</v>
      </c>
      <c r="F18">
        <v>7491105</v>
      </c>
      <c r="G18" t="s">
        <v>119</v>
      </c>
      <c r="H18">
        <v>83730000</v>
      </c>
      <c r="I18">
        <f>Cleaned_Data[[#This Row],[Volume (24h) USD]]/Cleaned_Data[[#This Row],[Circulating_Supply($)]]</f>
        <v>8.9467395198853453E-2</v>
      </c>
      <c r="J18">
        <f>RANK(Cleaned_Data[[#This Row],[Market Cap]],Cleaned_Data[Market Cap],0)</f>
        <v>23</v>
      </c>
      <c r="K18" t="str">
        <f t="shared" si="0"/>
        <v>2-10</v>
      </c>
    </row>
    <row r="19" spans="1:11" x14ac:dyDescent="0.35">
      <c r="A19" t="s">
        <v>120</v>
      </c>
      <c r="B19" t="s">
        <v>121</v>
      </c>
      <c r="C19">
        <v>0.57740000000000002</v>
      </c>
      <c r="D19">
        <v>1.1000000000000001E-3</v>
      </c>
      <c r="E19">
        <v>577405381</v>
      </c>
      <c r="F19">
        <v>23722335</v>
      </c>
      <c r="G19" t="s">
        <v>126</v>
      </c>
      <c r="H19">
        <v>1000000000</v>
      </c>
      <c r="I19">
        <f>Cleaned_Data[[#This Row],[Volume (24h) USD]]/Cleaned_Data[[#This Row],[Circulating_Supply($)]]</f>
        <v>2.3722335000000001E-2</v>
      </c>
      <c r="J19">
        <f>RANK(Cleaned_Data[[#This Row],[Market Cap]],Cleaned_Data[Market Cap],0)</f>
        <v>25</v>
      </c>
      <c r="K19" t="str">
        <f t="shared" si="0"/>
        <v>0.5-1</v>
      </c>
    </row>
    <row r="20" spans="1:11" x14ac:dyDescent="0.35">
      <c r="A20" t="s">
        <v>127</v>
      </c>
      <c r="B20" t="s">
        <v>128</v>
      </c>
      <c r="C20">
        <v>0.40489999999999998</v>
      </c>
      <c r="D20">
        <v>3.3E-3</v>
      </c>
      <c r="E20">
        <v>572387192</v>
      </c>
      <c r="F20">
        <v>19083906</v>
      </c>
      <c r="G20" t="s">
        <v>133</v>
      </c>
      <c r="H20">
        <v>1410000000</v>
      </c>
      <c r="I20">
        <f>Cleaned_Data[[#This Row],[Volume (24h) USD]]/Cleaned_Data[[#This Row],[Circulating_Supply($)]]</f>
        <v>1.3534685106382978E-2</v>
      </c>
      <c r="J20">
        <f>RANK(Cleaned_Data[[#This Row],[Market Cap]],Cleaned_Data[Market Cap],0)</f>
        <v>26</v>
      </c>
      <c r="K20" t="str">
        <f t="shared" si="0"/>
        <v>0-0.5</v>
      </c>
    </row>
    <row r="21" spans="1:11" x14ac:dyDescent="0.35">
      <c r="A21" t="s">
        <v>134</v>
      </c>
      <c r="B21" t="s">
        <v>135</v>
      </c>
      <c r="C21">
        <v>0.28820000000000001</v>
      </c>
      <c r="D21">
        <v>3.8999999999999998E-3</v>
      </c>
      <c r="E21">
        <v>567782071</v>
      </c>
      <c r="F21">
        <v>27296450</v>
      </c>
      <c r="G21" t="s">
        <v>140</v>
      </c>
      <c r="H21">
        <v>1960000000</v>
      </c>
      <c r="I21">
        <f>Cleaned_Data[[#This Row],[Volume (24h) USD]]/Cleaned_Data[[#This Row],[Circulating_Supply($)]]</f>
        <v>1.3926760204081633E-2</v>
      </c>
      <c r="J21">
        <f>RANK(Cleaned_Data[[#This Row],[Market Cap]],Cleaned_Data[Market Cap],0)</f>
        <v>27</v>
      </c>
      <c r="K21" t="str">
        <f t="shared" si="0"/>
        <v>0-0.5</v>
      </c>
    </row>
    <row r="22" spans="1:11" x14ac:dyDescent="0.35">
      <c r="A22" t="s">
        <v>141</v>
      </c>
      <c r="B22" t="s">
        <v>142</v>
      </c>
      <c r="C22">
        <v>4.54</v>
      </c>
      <c r="D22">
        <v>4.0000000000000002E-4</v>
      </c>
      <c r="E22">
        <v>1982420729</v>
      </c>
      <c r="F22">
        <v>64466358</v>
      </c>
      <c r="G22" t="s">
        <v>147</v>
      </c>
      <c r="H22">
        <v>436260000</v>
      </c>
      <c r="I22">
        <f>Cleaned_Data[[#This Row],[Volume (24h) USD]]/Cleaned_Data[[#This Row],[Circulating_Supply($)]]</f>
        <v>0.14777049924357036</v>
      </c>
      <c r="J22">
        <f>RANK(Cleaned_Data[[#This Row],[Market Cap]],Cleaned_Data[Market Cap],0)</f>
        <v>11</v>
      </c>
      <c r="K22" t="str">
        <f t="shared" si="0"/>
        <v>2-10</v>
      </c>
    </row>
    <row r="23" spans="1:11" x14ac:dyDescent="0.35">
      <c r="A23" t="s">
        <v>148</v>
      </c>
      <c r="B23" t="s">
        <v>149</v>
      </c>
      <c r="C23">
        <v>5.48</v>
      </c>
      <c r="D23">
        <v>4.7000000000000002E-3</v>
      </c>
      <c r="E23">
        <v>1955931785</v>
      </c>
      <c r="F23">
        <v>26985300</v>
      </c>
      <c r="G23" t="s">
        <v>154</v>
      </c>
      <c r="H23">
        <v>356550000</v>
      </c>
      <c r="I23">
        <f>Cleaned_Data[[#This Row],[Volume (24h) USD]]/Cleaned_Data[[#This Row],[Circulating_Supply($)]]</f>
        <v>7.5684476230542697E-2</v>
      </c>
      <c r="J23">
        <f>RANK(Cleaned_Data[[#This Row],[Market Cap]],Cleaned_Data[Market Cap],0)</f>
        <v>12</v>
      </c>
      <c r="K23" t="str">
        <f t="shared" si="0"/>
        <v>2-10</v>
      </c>
    </row>
    <row r="24" spans="1:11" x14ac:dyDescent="0.35">
      <c r="A24" t="s">
        <v>155</v>
      </c>
      <c r="B24" t="s">
        <v>156</v>
      </c>
      <c r="C24">
        <v>1</v>
      </c>
      <c r="D24">
        <v>2.0000000000000001E-4</v>
      </c>
      <c r="E24">
        <v>1253095193</v>
      </c>
      <c r="F24">
        <v>30789467</v>
      </c>
      <c r="G24" t="s">
        <v>160</v>
      </c>
      <c r="H24">
        <v>1250000000</v>
      </c>
      <c r="I24">
        <f>Cleaned_Data[[#This Row],[Volume (24h) USD]]/Cleaned_Data[[#This Row],[Circulating_Supply($)]]</f>
        <v>2.4631573600000001E-2</v>
      </c>
      <c r="J24">
        <f>RANK(Cleaned_Data[[#This Row],[Market Cap]],Cleaned_Data[Market Cap],0)</f>
        <v>13</v>
      </c>
      <c r="K24" t="str">
        <f t="shared" si="0"/>
        <v>0.5-1</v>
      </c>
    </row>
    <row r="25" spans="1:11" x14ac:dyDescent="0.35">
      <c r="A25" t="s">
        <v>161</v>
      </c>
      <c r="B25" t="s">
        <v>162</v>
      </c>
      <c r="C25">
        <v>2.4E-2</v>
      </c>
      <c r="D25">
        <v>2.2000000000000001E-3</v>
      </c>
      <c r="E25">
        <v>738956737</v>
      </c>
      <c r="F25">
        <v>8289454</v>
      </c>
      <c r="G25" t="s">
        <v>167</v>
      </c>
      <c r="H25">
        <v>30840000000</v>
      </c>
      <c r="I25">
        <f>Cleaned_Data[[#This Row],[Volume (24h) USD]]/Cleaned_Data[[#This Row],[Circulating_Supply($)]]</f>
        <v>2.6878904020752271E-4</v>
      </c>
      <c r="J25">
        <f>RANK(Cleaned_Data[[#This Row],[Market Cap]],Cleaned_Data[Market Cap],0)</f>
        <v>14</v>
      </c>
      <c r="K25" t="str">
        <f t="shared" si="0"/>
        <v>0-0.5</v>
      </c>
    </row>
    <row r="26" spans="1:11" x14ac:dyDescent="0.35">
      <c r="A26" t="s">
        <v>168</v>
      </c>
      <c r="B26" t="s">
        <v>169</v>
      </c>
      <c r="C26">
        <v>1.1000000000000001</v>
      </c>
      <c r="D26">
        <v>1.1000000000000001E-3</v>
      </c>
      <c r="E26">
        <v>691597867</v>
      </c>
      <c r="F26">
        <v>1338625</v>
      </c>
      <c r="G26" t="s">
        <v>173</v>
      </c>
      <c r="H26">
        <v>626670000</v>
      </c>
      <c r="I26">
        <f>Cleaned_Data[[#This Row],[Volume (24h) USD]]/Cleaned_Data[[#This Row],[Circulating_Supply($)]]</f>
        <v>2.1360923612108447E-3</v>
      </c>
      <c r="J26">
        <f>RANK(Cleaned_Data[[#This Row],[Market Cap]],Cleaned_Data[Market Cap],0)</f>
        <v>15</v>
      </c>
      <c r="K26" t="str">
        <f t="shared" si="0"/>
        <v>1-2</v>
      </c>
    </row>
    <row r="27" spans="1:11" x14ac:dyDescent="0.35">
      <c r="A27" t="s">
        <v>174</v>
      </c>
      <c r="B27" t="s">
        <v>175</v>
      </c>
      <c r="C27">
        <v>0.99829999999999997</v>
      </c>
      <c r="D27">
        <v>0</v>
      </c>
      <c r="E27">
        <v>642088143</v>
      </c>
      <c r="F27">
        <v>4463129</v>
      </c>
      <c r="G27" t="s">
        <v>180</v>
      </c>
      <c r="H27">
        <v>643120000</v>
      </c>
      <c r="I27">
        <f>Cleaned_Data[[#This Row],[Volume (24h) USD]]/Cleaned_Data[[#This Row],[Circulating_Supply($)]]</f>
        <v>6.9398075009329515E-3</v>
      </c>
      <c r="J27">
        <f>RANK(Cleaned_Data[[#This Row],[Market Cap]],Cleaned_Data[Market Cap],0)</f>
        <v>21</v>
      </c>
      <c r="K27" t="str">
        <f t="shared" si="0"/>
        <v>0.5-1</v>
      </c>
    </row>
    <row r="28" spans="1:11" x14ac:dyDescent="0.35">
      <c r="A28" t="s">
        <v>181</v>
      </c>
      <c r="B28" t="s">
        <v>182</v>
      </c>
      <c r="C28">
        <v>0.17449999999999999</v>
      </c>
      <c r="D28">
        <v>5.8999999999999999E-3</v>
      </c>
      <c r="E28">
        <v>607020903</v>
      </c>
      <c r="F28">
        <v>1377265</v>
      </c>
      <c r="G28" t="s">
        <v>187</v>
      </c>
      <c r="H28">
        <v>3470000000</v>
      </c>
      <c r="I28">
        <f>Cleaned_Data[[#This Row],[Volume (24h) USD]]/Cleaned_Data[[#This Row],[Circulating_Supply($)]]</f>
        <v>3.9690634005763687E-4</v>
      </c>
      <c r="J28">
        <f>RANK(Cleaned_Data[[#This Row],[Market Cap]],Cleaned_Data[Market Cap],0)</f>
        <v>24</v>
      </c>
      <c r="K28" t="str">
        <f t="shared" si="0"/>
        <v>0-0.5</v>
      </c>
    </row>
    <row r="29" spans="1:11" x14ac:dyDescent="0.35">
      <c r="A29" t="s">
        <v>188</v>
      </c>
      <c r="B29" t="s">
        <v>189</v>
      </c>
      <c r="C29">
        <v>7.6300000000000007E-2</v>
      </c>
      <c r="D29">
        <v>2.3E-3</v>
      </c>
      <c r="E29">
        <v>545355889</v>
      </c>
      <c r="F29">
        <v>4396792</v>
      </c>
      <c r="G29" t="s">
        <v>194</v>
      </c>
      <c r="H29">
        <v>7140000000</v>
      </c>
      <c r="I29">
        <f>Cleaned_Data[[#This Row],[Volume (24h) USD]]/Cleaned_Data[[#This Row],[Circulating_Supply($)]]</f>
        <v>6.1579719887955178E-4</v>
      </c>
      <c r="J29">
        <f>RANK(Cleaned_Data[[#This Row],[Market Cap]],Cleaned_Data[Market Cap],0)</f>
        <v>28</v>
      </c>
      <c r="K29" t="str">
        <f t="shared" si="0"/>
        <v>0-0.5</v>
      </c>
    </row>
    <row r="30" spans="1:11" x14ac:dyDescent="0.35">
      <c r="A30" t="s">
        <v>195</v>
      </c>
      <c r="B30" t="s">
        <v>196</v>
      </c>
      <c r="C30">
        <v>0.99980000000000002</v>
      </c>
      <c r="D30">
        <v>2.9999999999999997E-4</v>
      </c>
      <c r="E30">
        <v>538269461</v>
      </c>
      <c r="F30">
        <v>5715956</v>
      </c>
      <c r="G30" t="s">
        <v>201</v>
      </c>
      <c r="H30">
        <v>538360000</v>
      </c>
      <c r="I30">
        <f>Cleaned_Data[[#This Row],[Volume (24h) USD]]/Cleaned_Data[[#This Row],[Circulating_Supply($)]]</f>
        <v>1.0617348985808753E-2</v>
      </c>
      <c r="J30">
        <f>RANK(Cleaned_Data[[#This Row],[Market Cap]],Cleaned_Data[Market Cap],0)</f>
        <v>29</v>
      </c>
      <c r="K30" t="str">
        <f t="shared" si="0"/>
        <v>0.5-1</v>
      </c>
    </row>
    <row r="31" spans="1:11" x14ac:dyDescent="0.35">
      <c r="A31" t="s">
        <v>202</v>
      </c>
      <c r="B31" t="s">
        <v>203</v>
      </c>
      <c r="C31">
        <v>1.94</v>
      </c>
      <c r="D31">
        <v>1.6000000000000001E-3</v>
      </c>
      <c r="E31">
        <v>503419749</v>
      </c>
      <c r="F31">
        <v>325843</v>
      </c>
      <c r="G31" t="s">
        <v>208</v>
      </c>
      <c r="H31">
        <v>258970000.00000003</v>
      </c>
      <c r="I31">
        <f>Cleaned_Data[[#This Row],[Volume (24h) USD]]/Cleaned_Data[[#This Row],[Circulating_Supply($)]]</f>
        <v>1.258226821639572E-3</v>
      </c>
      <c r="J31">
        <f>RANK(Cleaned_Data[[#This Row],[Market Cap]],Cleaned_Data[Market Cap],0)</f>
        <v>30</v>
      </c>
      <c r="K31" t="str">
        <f t="shared" si="0"/>
        <v>1-2</v>
      </c>
    </row>
    <row r="32" spans="1:11" x14ac:dyDescent="0.35">
      <c r="A32" t="s">
        <v>209</v>
      </c>
      <c r="B32" t="s">
        <v>209</v>
      </c>
      <c r="C32">
        <v>7.1400000000000005E-2</v>
      </c>
      <c r="D32">
        <v>4.0000000000000002E-4</v>
      </c>
      <c r="E32">
        <v>136125306</v>
      </c>
      <c r="F32">
        <v>6721454</v>
      </c>
      <c r="G32" t="s">
        <v>213</v>
      </c>
      <c r="H32">
        <v>1900000000</v>
      </c>
      <c r="I32">
        <f>Cleaned_Data[[#This Row],[Volume (24h) USD]]/Cleaned_Data[[#This Row],[Circulating_Supply($)]]</f>
        <v>3.5376073684210527E-3</v>
      </c>
      <c r="J32">
        <f>RANK(Cleaned_Data[[#This Row],[Market Cap]],Cleaned_Data[Market Cap],0)</f>
        <v>31</v>
      </c>
      <c r="K32" t="str">
        <f t="shared" si="0"/>
        <v>0-0.5</v>
      </c>
    </row>
    <row r="33" spans="1:11" x14ac:dyDescent="0.35">
      <c r="A33" t="s">
        <v>214</v>
      </c>
      <c r="B33" t="s">
        <v>215</v>
      </c>
      <c r="C33">
        <v>0.99950000000000006</v>
      </c>
      <c r="D33">
        <v>0</v>
      </c>
      <c r="E33">
        <v>132578463</v>
      </c>
      <c r="F33">
        <v>343471</v>
      </c>
      <c r="G33" t="s">
        <v>218</v>
      </c>
      <c r="H33">
        <v>132630000</v>
      </c>
      <c r="I33">
        <f>Cleaned_Data[[#This Row],[Volume (24h) USD]]/Cleaned_Data[[#This Row],[Circulating_Supply($)]]</f>
        <v>2.5896931312674358E-3</v>
      </c>
      <c r="J33">
        <f>RANK(Cleaned_Data[[#This Row],[Market Cap]],Cleaned_Data[Market Cap],0)</f>
        <v>32</v>
      </c>
      <c r="K33" t="str">
        <f t="shared" si="0"/>
        <v>0.5-1</v>
      </c>
    </row>
    <row r="34" spans="1:11" x14ac:dyDescent="0.35">
      <c r="A34" t="s">
        <v>219</v>
      </c>
      <c r="B34" t="s">
        <v>220</v>
      </c>
      <c r="C34">
        <v>0.99960000000000004</v>
      </c>
      <c r="D34">
        <v>2.0000000000000001E-4</v>
      </c>
      <c r="E34">
        <v>131915058</v>
      </c>
      <c r="F34">
        <v>1092882</v>
      </c>
      <c r="G34" t="s">
        <v>224</v>
      </c>
      <c r="H34">
        <v>131949999.99999999</v>
      </c>
      <c r="I34">
        <f>Cleaned_Data[[#This Row],[Volume (24h) USD]]/Cleaned_Data[[#This Row],[Circulating_Supply($)]]</f>
        <v>8.2825464190981433E-3</v>
      </c>
      <c r="J34">
        <f>RANK(Cleaned_Data[[#This Row],[Market Cap]],Cleaned_Data[Market Cap],0)</f>
        <v>33</v>
      </c>
      <c r="K34" t="str">
        <f t="shared" ref="K34:K65" si="1">IF(C34&lt;=0.5,"0-0.5",
 IF(C34&lt;=1,"0.5-1",
  IF(C34&lt;=2,"1-2",
   IF(C34&lt;=10,"2-10",
    IF(C34&lt;=100,"10-100",
     IF(C34&lt;=10000,"100-10000",
      "10000+"))))))</f>
        <v>0.5-1</v>
      </c>
    </row>
    <row r="35" spans="1:11" x14ac:dyDescent="0.35">
      <c r="A35" t="s">
        <v>225</v>
      </c>
      <c r="B35" t="s">
        <v>226</v>
      </c>
      <c r="C35">
        <v>0.13320000000000001</v>
      </c>
      <c r="D35">
        <v>4.3E-3</v>
      </c>
      <c r="E35">
        <v>131880666</v>
      </c>
      <c r="F35">
        <v>2531201</v>
      </c>
      <c r="G35" t="s">
        <v>230</v>
      </c>
      <c r="H35">
        <v>989350000</v>
      </c>
      <c r="I35">
        <f>Cleaned_Data[[#This Row],[Volume (24h) USD]]/Cleaned_Data[[#This Row],[Circulating_Supply($)]]</f>
        <v>2.5584484762722999E-3</v>
      </c>
      <c r="J35">
        <f>RANK(Cleaned_Data[[#This Row],[Market Cap]],Cleaned_Data[Market Cap],0)</f>
        <v>34</v>
      </c>
      <c r="K35" t="str">
        <f t="shared" si="1"/>
        <v>0-0.5</v>
      </c>
    </row>
    <row r="36" spans="1:11" x14ac:dyDescent="0.35">
      <c r="A36" t="s">
        <v>231</v>
      </c>
      <c r="B36" t="s">
        <v>232</v>
      </c>
      <c r="C36">
        <v>0.27810000000000001</v>
      </c>
      <c r="D36">
        <v>1.3100000000000001E-2</v>
      </c>
      <c r="E36">
        <v>129554753</v>
      </c>
      <c r="F36">
        <v>7930906</v>
      </c>
      <c r="G36" t="s">
        <v>237</v>
      </c>
      <c r="H36">
        <v>465830000</v>
      </c>
      <c r="I36">
        <f>Cleaned_Data[[#This Row],[Volume (24h) USD]]/Cleaned_Data[[#This Row],[Circulating_Supply($)]]</f>
        <v>1.7025322542558445E-2</v>
      </c>
      <c r="J36">
        <f>RANK(Cleaned_Data[[#This Row],[Market Cap]],Cleaned_Data[Market Cap],0)</f>
        <v>35</v>
      </c>
      <c r="K36" t="str">
        <f t="shared" si="1"/>
        <v>0-0.5</v>
      </c>
    </row>
    <row r="37" spans="1:11" x14ac:dyDescent="0.35">
      <c r="A37" t="s">
        <v>238</v>
      </c>
      <c r="B37" t="s">
        <v>238</v>
      </c>
      <c r="C37">
        <v>0.99970000000000003</v>
      </c>
      <c r="D37">
        <v>1E-4</v>
      </c>
      <c r="E37">
        <v>128872926</v>
      </c>
      <c r="F37">
        <v>8432086</v>
      </c>
      <c r="G37" t="s">
        <v>241</v>
      </c>
      <c r="H37">
        <v>128900000</v>
      </c>
      <c r="I37">
        <f>Cleaned_Data[[#This Row],[Volume (24h) USD]]/Cleaned_Data[[#This Row],[Circulating_Supply($)]]</f>
        <v>6.5415717610550816E-2</v>
      </c>
      <c r="J37">
        <f>RANK(Cleaned_Data[[#This Row],[Market Cap]],Cleaned_Data[Market Cap],0)</f>
        <v>36</v>
      </c>
      <c r="K37" t="str">
        <f t="shared" si="1"/>
        <v>0.5-1</v>
      </c>
    </row>
    <row r="38" spans="1:11" x14ac:dyDescent="0.35">
      <c r="A38" t="s">
        <v>242</v>
      </c>
      <c r="B38" t="s">
        <v>243</v>
      </c>
      <c r="C38">
        <v>4.9599999999999998E-2</v>
      </c>
      <c r="D38">
        <v>5.0000000000000001E-3</v>
      </c>
      <c r="E38">
        <v>128393361</v>
      </c>
      <c r="F38">
        <v>10778520</v>
      </c>
      <c r="G38" t="s">
        <v>248</v>
      </c>
      <c r="H38">
        <v>2590000000</v>
      </c>
      <c r="I38">
        <f>Cleaned_Data[[#This Row],[Volume (24h) USD]]/Cleaned_Data[[#This Row],[Circulating_Supply($)]]</f>
        <v>4.1615907335907339E-3</v>
      </c>
      <c r="J38">
        <f>RANK(Cleaned_Data[[#This Row],[Market Cap]],Cleaned_Data[Market Cap],0)</f>
        <v>37</v>
      </c>
      <c r="K38" t="str">
        <f t="shared" si="1"/>
        <v>0-0.5</v>
      </c>
    </row>
    <row r="39" spans="1:11" x14ac:dyDescent="0.35">
      <c r="A39" t="s">
        <v>249</v>
      </c>
      <c r="B39" t="s">
        <v>250</v>
      </c>
      <c r="C39">
        <v>2.6700000000000002E-2</v>
      </c>
      <c r="D39">
        <v>5.0000000000000001E-4</v>
      </c>
      <c r="E39">
        <v>128203844</v>
      </c>
      <c r="F39">
        <v>10487502</v>
      </c>
      <c r="G39" t="s">
        <v>255</v>
      </c>
      <c r="H39">
        <v>4790000000</v>
      </c>
      <c r="I39">
        <f>Cleaned_Data[[#This Row],[Volume (24h) USD]]/Cleaned_Data[[#This Row],[Circulating_Supply($)]]</f>
        <v>2.1894576200417537E-3</v>
      </c>
      <c r="J39">
        <f>RANK(Cleaned_Data[[#This Row],[Market Cap]],Cleaned_Data[Market Cap],0)</f>
        <v>38</v>
      </c>
      <c r="K39" t="str">
        <f t="shared" si="1"/>
        <v>0-0.5</v>
      </c>
    </row>
    <row r="40" spans="1:11" x14ac:dyDescent="0.35">
      <c r="A40" t="s">
        <v>256</v>
      </c>
      <c r="B40" t="s">
        <v>257</v>
      </c>
      <c r="C40">
        <v>6.8099999999999994E-2</v>
      </c>
      <c r="D40">
        <v>4.3E-3</v>
      </c>
      <c r="E40">
        <v>127672149</v>
      </c>
      <c r="F40">
        <v>11344790</v>
      </c>
      <c r="G40" t="s">
        <v>261</v>
      </c>
      <c r="H40">
        <v>1870000000</v>
      </c>
      <c r="I40">
        <f>Cleaned_Data[[#This Row],[Volume (24h) USD]]/Cleaned_Data[[#This Row],[Circulating_Supply($)]]</f>
        <v>6.0667326203208555E-3</v>
      </c>
      <c r="J40">
        <f>RANK(Cleaned_Data[[#This Row],[Market Cap]],Cleaned_Data[Market Cap],0)</f>
        <v>39</v>
      </c>
      <c r="K40" t="str">
        <f t="shared" si="1"/>
        <v>0-0.5</v>
      </c>
    </row>
    <row r="41" spans="1:11" x14ac:dyDescent="0.35">
      <c r="A41" t="s">
        <v>262</v>
      </c>
      <c r="B41" t="s">
        <v>263</v>
      </c>
      <c r="C41">
        <v>4.24</v>
      </c>
      <c r="D41">
        <v>1.9E-3</v>
      </c>
      <c r="E41">
        <v>127660598</v>
      </c>
      <c r="F41">
        <v>9341488</v>
      </c>
      <c r="G41" t="s">
        <v>268</v>
      </c>
      <c r="H41">
        <v>30080000</v>
      </c>
      <c r="I41">
        <f>Cleaned_Data[[#This Row],[Volume (24h) USD]]/Cleaned_Data[[#This Row],[Circulating_Supply($)]]</f>
        <v>0.31055478723404256</v>
      </c>
      <c r="J41">
        <f>RANK(Cleaned_Data[[#This Row],[Market Cap]],Cleaned_Data[Market Cap],0)</f>
        <v>40</v>
      </c>
      <c r="K41" t="str">
        <f t="shared" si="1"/>
        <v>2-10</v>
      </c>
    </row>
    <row r="42" spans="1:11" x14ac:dyDescent="0.35">
      <c r="A42" t="s">
        <v>269</v>
      </c>
      <c r="B42" t="s">
        <v>270</v>
      </c>
      <c r="C42">
        <v>0.43259999999999998</v>
      </c>
      <c r="D42">
        <v>1.32E-2</v>
      </c>
      <c r="E42">
        <v>87828987</v>
      </c>
      <c r="F42">
        <v>9141404</v>
      </c>
      <c r="G42" t="s">
        <v>275</v>
      </c>
      <c r="H42">
        <v>203020000</v>
      </c>
      <c r="I42">
        <f>Cleaned_Data[[#This Row],[Volume (24h) USD]]/Cleaned_Data[[#This Row],[Circulating_Supply($)]]</f>
        <v>4.5027110629494632E-2</v>
      </c>
      <c r="J42">
        <f>RANK(Cleaned_Data[[#This Row],[Market Cap]],Cleaned_Data[Market Cap],0)</f>
        <v>41</v>
      </c>
      <c r="K42" t="str">
        <f t="shared" si="1"/>
        <v>0-0.5</v>
      </c>
    </row>
    <row r="43" spans="1:11" x14ac:dyDescent="0.35">
      <c r="A43" t="s">
        <v>276</v>
      </c>
      <c r="B43" t="s">
        <v>277</v>
      </c>
      <c r="C43">
        <v>1.62</v>
      </c>
      <c r="D43">
        <v>1E-3</v>
      </c>
      <c r="E43">
        <v>87776158</v>
      </c>
      <c r="F43">
        <v>9108166</v>
      </c>
      <c r="G43" t="s">
        <v>281</v>
      </c>
      <c r="H43">
        <v>54050000</v>
      </c>
      <c r="I43">
        <f>Cleaned_Data[[#This Row],[Volume (24h) USD]]/Cleaned_Data[[#This Row],[Circulating_Supply($)]]</f>
        <v>0.16851370952821462</v>
      </c>
      <c r="J43">
        <f>RANK(Cleaned_Data[[#This Row],[Market Cap]],Cleaned_Data[Market Cap],0)</f>
        <v>42</v>
      </c>
      <c r="K43" t="str">
        <f t="shared" si="1"/>
        <v>1-2</v>
      </c>
    </row>
    <row r="44" spans="1:11" x14ac:dyDescent="0.35">
      <c r="A44" t="s">
        <v>282</v>
      </c>
      <c r="B44" t="s">
        <v>283</v>
      </c>
      <c r="C44">
        <v>0.69950000000000001</v>
      </c>
      <c r="D44">
        <v>0</v>
      </c>
      <c r="E44">
        <v>86786092</v>
      </c>
      <c r="F44">
        <v>24699</v>
      </c>
      <c r="G44" t="s">
        <v>287</v>
      </c>
      <c r="H44">
        <v>124060000</v>
      </c>
      <c r="I44">
        <f>Cleaned_Data[[#This Row],[Volume (24h) USD]]/Cleaned_Data[[#This Row],[Circulating_Supply($)]]</f>
        <v>1.9908915041109141E-4</v>
      </c>
      <c r="J44">
        <f>RANK(Cleaned_Data[[#This Row],[Market Cap]],Cleaned_Data[Market Cap],0)</f>
        <v>43</v>
      </c>
      <c r="K44" t="str">
        <f t="shared" si="1"/>
        <v>0.5-1</v>
      </c>
    </row>
    <row r="45" spans="1:11" x14ac:dyDescent="0.35">
      <c r="A45" t="s">
        <v>288</v>
      </c>
      <c r="B45" t="s">
        <v>288</v>
      </c>
      <c r="C45">
        <v>2.88</v>
      </c>
      <c r="D45">
        <v>1.2999999999999999E-3</v>
      </c>
      <c r="E45">
        <v>86613592</v>
      </c>
      <c r="F45">
        <v>295825</v>
      </c>
      <c r="G45" t="s">
        <v>293</v>
      </c>
      <c r="H45">
        <v>30000000</v>
      </c>
      <c r="I45">
        <f>Cleaned_Data[[#This Row],[Volume (24h) USD]]/Cleaned_Data[[#This Row],[Circulating_Supply($)]]</f>
        <v>9.8608333333333326E-3</v>
      </c>
      <c r="J45">
        <f>RANK(Cleaned_Data[[#This Row],[Market Cap]],Cleaned_Data[Market Cap],0)</f>
        <v>44</v>
      </c>
      <c r="K45" t="str">
        <f t="shared" si="1"/>
        <v>2-10</v>
      </c>
    </row>
    <row r="46" spans="1:11" x14ac:dyDescent="0.35">
      <c r="A46" t="s">
        <v>294</v>
      </c>
      <c r="B46" t="s">
        <v>295</v>
      </c>
      <c r="C46">
        <v>8.6499999999999994E-2</v>
      </c>
      <c r="D46">
        <v>2.0000000000000001E-4</v>
      </c>
      <c r="E46">
        <v>86345798</v>
      </c>
      <c r="F46">
        <v>4522686</v>
      </c>
      <c r="G46" t="s">
        <v>299</v>
      </c>
      <c r="H46">
        <v>998460000</v>
      </c>
      <c r="I46">
        <f>Cleaned_Data[[#This Row],[Volume (24h) USD]]/Cleaned_Data[[#This Row],[Circulating_Supply($)]]</f>
        <v>4.5296616789856376E-3</v>
      </c>
      <c r="J46">
        <f>RANK(Cleaned_Data[[#This Row],[Market Cap]],Cleaned_Data[Market Cap],0)</f>
        <v>46</v>
      </c>
      <c r="K46" t="str">
        <f t="shared" si="1"/>
        <v>0-0.5</v>
      </c>
    </row>
    <row r="47" spans="1:11" x14ac:dyDescent="0.35">
      <c r="A47" t="s">
        <v>300</v>
      </c>
      <c r="B47" t="s">
        <v>301</v>
      </c>
      <c r="C47">
        <v>6.4000000000000001E-2</v>
      </c>
      <c r="D47">
        <v>1.9E-3</v>
      </c>
      <c r="E47">
        <v>86441423</v>
      </c>
      <c r="F47">
        <v>6787116</v>
      </c>
      <c r="G47" t="s">
        <v>305</v>
      </c>
      <c r="H47">
        <v>1350000000</v>
      </c>
      <c r="I47">
        <f>Cleaned_Data[[#This Row],[Volume (24h) USD]]/Cleaned_Data[[#This Row],[Circulating_Supply($)]]</f>
        <v>5.0274933333333332E-3</v>
      </c>
      <c r="J47">
        <f>RANK(Cleaned_Data[[#This Row],[Market Cap]],Cleaned_Data[Market Cap],0)</f>
        <v>45</v>
      </c>
      <c r="K47" t="str">
        <f t="shared" si="1"/>
        <v>0-0.5</v>
      </c>
    </row>
    <row r="48" spans="1:11" x14ac:dyDescent="0.35">
      <c r="A48" t="s">
        <v>306</v>
      </c>
      <c r="B48" t="s">
        <v>307</v>
      </c>
      <c r="C48">
        <v>0.45040000000000002</v>
      </c>
      <c r="D48">
        <v>5.1999999999999998E-3</v>
      </c>
      <c r="E48">
        <v>85996731</v>
      </c>
      <c r="F48">
        <v>4342188</v>
      </c>
      <c r="G48" t="s">
        <v>311</v>
      </c>
      <c r="H48">
        <v>190900000</v>
      </c>
      <c r="I48">
        <f>Cleaned_Data[[#This Row],[Volume (24h) USD]]/Cleaned_Data[[#This Row],[Circulating_Supply($)]]</f>
        <v>2.2745877422734415E-2</v>
      </c>
      <c r="J48">
        <f>RANK(Cleaned_Data[[#This Row],[Market Cap]],Cleaned_Data[Market Cap],0)</f>
        <v>47</v>
      </c>
      <c r="K48" t="str">
        <f t="shared" si="1"/>
        <v>0-0.5</v>
      </c>
    </row>
    <row r="49" spans="1:11" x14ac:dyDescent="0.35">
      <c r="A49" t="s">
        <v>312</v>
      </c>
      <c r="B49" t="s">
        <v>313</v>
      </c>
      <c r="C49">
        <v>8.5699999999999998E-2</v>
      </c>
      <c r="D49">
        <v>8.8000000000000005E-3</v>
      </c>
      <c r="E49">
        <v>85680579</v>
      </c>
      <c r="F49">
        <v>14947172</v>
      </c>
      <c r="G49" t="s">
        <v>318</v>
      </c>
      <c r="H49">
        <v>999990000</v>
      </c>
      <c r="I49">
        <f>Cleaned_Data[[#This Row],[Volume (24h) USD]]/Cleaned_Data[[#This Row],[Circulating_Supply($)]]</f>
        <v>1.4947321473214733E-2</v>
      </c>
      <c r="J49">
        <f>RANK(Cleaned_Data[[#This Row],[Market Cap]],Cleaned_Data[Market Cap],0)</f>
        <v>48</v>
      </c>
      <c r="K49" t="str">
        <f t="shared" si="1"/>
        <v>0-0.5</v>
      </c>
    </row>
    <row r="50" spans="1:11" x14ac:dyDescent="0.35">
      <c r="A50" t="s">
        <v>319</v>
      </c>
      <c r="B50" t="s">
        <v>320</v>
      </c>
      <c r="C50">
        <v>8.5400000000000004E-2</v>
      </c>
      <c r="D50">
        <v>3.8E-3</v>
      </c>
      <c r="E50">
        <v>85436011</v>
      </c>
      <c r="F50">
        <v>10238715</v>
      </c>
      <c r="G50" t="s">
        <v>325</v>
      </c>
      <c r="H50">
        <v>999960000</v>
      </c>
      <c r="I50">
        <f>Cleaned_Data[[#This Row],[Volume (24h) USD]]/Cleaned_Data[[#This Row],[Circulating_Supply($)]]</f>
        <v>1.0239124564982599E-2</v>
      </c>
      <c r="J50">
        <f>RANK(Cleaned_Data[[#This Row],[Market Cap]],Cleaned_Data[Market Cap],0)</f>
        <v>49</v>
      </c>
      <c r="K50" t="str">
        <f t="shared" si="1"/>
        <v>0-0.5</v>
      </c>
    </row>
    <row r="51" spans="1:11" x14ac:dyDescent="0.35">
      <c r="A51" t="s">
        <v>332</v>
      </c>
      <c r="B51" t="s">
        <v>333</v>
      </c>
      <c r="C51">
        <v>3.1399999999999997E-2</v>
      </c>
      <c r="D51">
        <v>7.7000000000000002E-3</v>
      </c>
      <c r="E51">
        <v>62836837</v>
      </c>
      <c r="F51">
        <v>13787251</v>
      </c>
      <c r="G51" t="s">
        <v>338</v>
      </c>
      <c r="H51">
        <v>2000000000</v>
      </c>
      <c r="I51">
        <f>Cleaned_Data[[#This Row],[Volume (24h) USD]]/Cleaned_Data[[#This Row],[Circulating_Supply($)]]</f>
        <v>6.8936255000000002E-3</v>
      </c>
      <c r="J51">
        <f>RANK(Cleaned_Data[[#This Row],[Market Cap]],Cleaned_Data[Market Cap],0)</f>
        <v>50</v>
      </c>
      <c r="K51" t="str">
        <f t="shared" si="1"/>
        <v>0-0.5</v>
      </c>
    </row>
    <row r="52" spans="1:11" x14ac:dyDescent="0.35">
      <c r="A52" t="s">
        <v>339</v>
      </c>
      <c r="B52" t="s">
        <v>340</v>
      </c>
      <c r="C52">
        <v>0.72919999999999996</v>
      </c>
      <c r="D52">
        <v>8.9999999999999998E-4</v>
      </c>
      <c r="E52">
        <v>62825935</v>
      </c>
      <c r="F52">
        <v>1249114</v>
      </c>
      <c r="G52" t="s">
        <v>345</v>
      </c>
      <c r="H52">
        <v>86140000</v>
      </c>
      <c r="I52">
        <f>Cleaned_Data[[#This Row],[Volume (24h) USD]]/Cleaned_Data[[#This Row],[Circulating_Supply($)]]</f>
        <v>1.4500975156721616E-2</v>
      </c>
      <c r="J52">
        <f>RANK(Cleaned_Data[[#This Row],[Market Cap]],Cleaned_Data[Market Cap],0)</f>
        <v>51</v>
      </c>
      <c r="K52" t="str">
        <f t="shared" si="1"/>
        <v>0.5-1</v>
      </c>
    </row>
    <row r="53" spans="1:11" x14ac:dyDescent="0.35">
      <c r="A53" t="s">
        <v>346</v>
      </c>
      <c r="B53" t="s">
        <v>347</v>
      </c>
      <c r="C53">
        <v>8.0000000000000002E-3</v>
      </c>
      <c r="D53">
        <v>5.1999999999999998E-3</v>
      </c>
      <c r="E53">
        <v>62746080</v>
      </c>
      <c r="F53">
        <v>5327551</v>
      </c>
      <c r="G53" t="s">
        <v>351</v>
      </c>
      <c r="H53">
        <v>7800000000</v>
      </c>
      <c r="I53">
        <f>Cleaned_Data[[#This Row],[Volume (24h) USD]]/Cleaned_Data[[#This Row],[Circulating_Supply($)]]</f>
        <v>6.8301935897435901E-4</v>
      </c>
      <c r="J53">
        <f>RANK(Cleaned_Data[[#This Row],[Market Cap]],Cleaned_Data[Market Cap],0)</f>
        <v>52</v>
      </c>
      <c r="K53" t="str">
        <f t="shared" si="1"/>
        <v>0-0.5</v>
      </c>
    </row>
    <row r="54" spans="1:11" x14ac:dyDescent="0.35">
      <c r="A54" t="s">
        <v>352</v>
      </c>
      <c r="B54" t="s">
        <v>353</v>
      </c>
      <c r="C54">
        <v>7.9799999999999996E-2</v>
      </c>
      <c r="D54">
        <v>6.9999999999999999E-4</v>
      </c>
      <c r="E54">
        <v>62547790</v>
      </c>
      <c r="F54">
        <v>9047350</v>
      </c>
      <c r="G54" t="s">
        <v>357</v>
      </c>
      <c r="H54">
        <v>783570000</v>
      </c>
      <c r="I54">
        <f>Cleaned_Data[[#This Row],[Volume (24h) USD]]/Cleaned_Data[[#This Row],[Circulating_Supply($)]]</f>
        <v>1.1546320047985502E-2</v>
      </c>
      <c r="J54">
        <f>RANK(Cleaned_Data[[#This Row],[Market Cap]],Cleaned_Data[Market Cap],0)</f>
        <v>53</v>
      </c>
      <c r="K54" t="str">
        <f t="shared" si="1"/>
        <v>0-0.5</v>
      </c>
    </row>
    <row r="55" spans="1:11" x14ac:dyDescent="0.35">
      <c r="A55" t="s">
        <v>358</v>
      </c>
      <c r="B55" t="s">
        <v>359</v>
      </c>
      <c r="C55">
        <v>2.8999999999999998E-3</v>
      </c>
      <c r="D55">
        <v>8.0000000000000004E-4</v>
      </c>
      <c r="E55">
        <v>62328087</v>
      </c>
      <c r="F55">
        <v>2058149</v>
      </c>
      <c r="G55" t="s">
        <v>364</v>
      </c>
      <c r="H55">
        <v>21290000000</v>
      </c>
      <c r="I55">
        <f>Cleaned_Data[[#This Row],[Volume (24h) USD]]/Cleaned_Data[[#This Row],[Circulating_Supply($)]]</f>
        <v>9.6672099577266326E-5</v>
      </c>
      <c r="J55">
        <f>RANK(Cleaned_Data[[#This Row],[Market Cap]],Cleaned_Data[Market Cap],0)</f>
        <v>54</v>
      </c>
      <c r="K55" t="str">
        <f t="shared" si="1"/>
        <v>0-0.5</v>
      </c>
    </row>
    <row r="56" spans="1:11" x14ac:dyDescent="0.35">
      <c r="A56" t="s">
        <v>365</v>
      </c>
      <c r="B56" t="s">
        <v>366</v>
      </c>
      <c r="C56">
        <v>11.79</v>
      </c>
      <c r="D56">
        <v>2.3999999999999998E-3</v>
      </c>
      <c r="E56">
        <v>62064898</v>
      </c>
      <c r="F56">
        <v>76515</v>
      </c>
      <c r="G56" t="s">
        <v>370</v>
      </c>
      <c r="H56">
        <v>5260000</v>
      </c>
      <c r="I56">
        <f>Cleaned_Data[[#This Row],[Volume (24h) USD]]/Cleaned_Data[[#This Row],[Circulating_Supply($)]]</f>
        <v>1.4546577946768061E-2</v>
      </c>
      <c r="J56">
        <f>RANK(Cleaned_Data[[#This Row],[Market Cap]],Cleaned_Data[Market Cap],0)</f>
        <v>55</v>
      </c>
      <c r="K56" t="str">
        <f t="shared" si="1"/>
        <v>10-100</v>
      </c>
    </row>
    <row r="57" spans="1:11" x14ac:dyDescent="0.35">
      <c r="A57" t="s">
        <v>371</v>
      </c>
      <c r="B57" t="s">
        <v>372</v>
      </c>
      <c r="C57">
        <v>0.18160000000000001</v>
      </c>
      <c r="D57">
        <v>2.0999999999999999E-3</v>
      </c>
      <c r="E57">
        <v>61786840</v>
      </c>
      <c r="F57">
        <v>8267657</v>
      </c>
      <c r="G57" t="s">
        <v>377</v>
      </c>
      <c r="H57">
        <v>340130000</v>
      </c>
      <c r="I57">
        <f>Cleaned_Data[[#This Row],[Volume (24h) USD]]/Cleaned_Data[[#This Row],[Circulating_Supply($)]]</f>
        <v>2.4307344250727662E-2</v>
      </c>
      <c r="J57">
        <f>RANK(Cleaned_Data[[#This Row],[Market Cap]],Cleaned_Data[Market Cap],0)</f>
        <v>56</v>
      </c>
      <c r="K57" t="str">
        <f t="shared" si="1"/>
        <v>0-0.5</v>
      </c>
    </row>
    <row r="58" spans="1:11" x14ac:dyDescent="0.35">
      <c r="A58" t="s">
        <v>378</v>
      </c>
      <c r="B58" t="s">
        <v>379</v>
      </c>
      <c r="C58">
        <v>10.119999999999999</v>
      </c>
      <c r="D58">
        <v>2.0999999999999999E-3</v>
      </c>
      <c r="E58">
        <v>61648001</v>
      </c>
      <c r="F58">
        <v>27805860</v>
      </c>
      <c r="G58" t="s">
        <v>383</v>
      </c>
      <c r="H58">
        <v>6090000</v>
      </c>
      <c r="I58">
        <f>Cleaned_Data[[#This Row],[Volume (24h) USD]]/Cleaned_Data[[#This Row],[Circulating_Supply($)]]</f>
        <v>4.5658226600985223</v>
      </c>
      <c r="J58">
        <f>RANK(Cleaned_Data[[#This Row],[Market Cap]],Cleaned_Data[Market Cap],0)</f>
        <v>57</v>
      </c>
      <c r="K58" t="str">
        <f t="shared" si="1"/>
        <v>10-100</v>
      </c>
    </row>
    <row r="59" spans="1:11" x14ac:dyDescent="0.35">
      <c r="A59" t="s">
        <v>384</v>
      </c>
      <c r="B59" t="s">
        <v>385</v>
      </c>
      <c r="C59">
        <v>5.1999999999999998E-3</v>
      </c>
      <c r="D59">
        <v>1.4E-3</v>
      </c>
      <c r="E59">
        <v>61619476</v>
      </c>
      <c r="F59">
        <v>213098</v>
      </c>
      <c r="G59" t="s">
        <v>390</v>
      </c>
      <c r="H59">
        <v>11820000000</v>
      </c>
      <c r="I59">
        <f>Cleaned_Data[[#This Row],[Volume (24h) USD]]/Cleaned_Data[[#This Row],[Circulating_Supply($)]]</f>
        <v>1.8028595600676818E-5</v>
      </c>
      <c r="J59">
        <f>RANK(Cleaned_Data[[#This Row],[Market Cap]],Cleaned_Data[Market Cap],0)</f>
        <v>58</v>
      </c>
      <c r="K59" t="str">
        <f t="shared" si="1"/>
        <v>0-0.5</v>
      </c>
    </row>
    <row r="60" spans="1:11" x14ac:dyDescent="0.35">
      <c r="A60" t="s">
        <v>391</v>
      </c>
      <c r="B60" t="s">
        <v>392</v>
      </c>
      <c r="C60">
        <v>2.17</v>
      </c>
      <c r="D60">
        <v>3.0999999999999999E-3</v>
      </c>
      <c r="E60">
        <v>61481343</v>
      </c>
      <c r="F60">
        <v>2564140</v>
      </c>
      <c r="G60" t="s">
        <v>397</v>
      </c>
      <c r="H60">
        <v>28300000</v>
      </c>
      <c r="I60">
        <f>Cleaned_Data[[#This Row],[Volume (24h) USD]]/Cleaned_Data[[#This Row],[Circulating_Supply($)]]</f>
        <v>9.0605653710247355E-2</v>
      </c>
      <c r="J60">
        <f>RANK(Cleaned_Data[[#This Row],[Market Cap]],Cleaned_Data[Market Cap],0)</f>
        <v>59</v>
      </c>
      <c r="K60" t="str">
        <f t="shared" si="1"/>
        <v>2-10</v>
      </c>
    </row>
    <row r="61" spans="1:11" x14ac:dyDescent="0.35">
      <c r="A61" t="s">
        <v>398</v>
      </c>
      <c r="B61" t="s">
        <v>399</v>
      </c>
      <c r="C61">
        <v>0.67269999999999996</v>
      </c>
      <c r="D61">
        <v>1.2999999999999999E-2</v>
      </c>
      <c r="E61">
        <v>45704968</v>
      </c>
      <c r="F61">
        <v>35491</v>
      </c>
      <c r="G61" t="s">
        <v>404</v>
      </c>
      <c r="H61">
        <v>67930000</v>
      </c>
      <c r="I61">
        <f>Cleaned_Data[[#This Row],[Volume (24h) USD]]/Cleaned_Data[[#This Row],[Circulating_Supply($)]]</f>
        <v>5.224643014868247E-4</v>
      </c>
      <c r="J61">
        <f>RANK(Cleaned_Data[[#This Row],[Market Cap]],Cleaned_Data[Market Cap],0)</f>
        <v>60</v>
      </c>
      <c r="K61" t="str">
        <f t="shared" si="1"/>
        <v>0.5-1</v>
      </c>
    </row>
    <row r="62" spans="1:11" x14ac:dyDescent="0.35">
      <c r="A62" t="s">
        <v>1</v>
      </c>
      <c r="B62" t="s">
        <v>405</v>
      </c>
      <c r="C62">
        <v>7.4000000000000003E-3</v>
      </c>
      <c r="D62">
        <v>0</v>
      </c>
      <c r="E62">
        <v>45421680</v>
      </c>
      <c r="F62">
        <v>758766</v>
      </c>
      <c r="G62" t="s">
        <v>409</v>
      </c>
      <c r="H62">
        <v>6170000000</v>
      </c>
      <c r="I62">
        <f>Cleaned_Data[[#This Row],[Volume (24h) USD]]/Cleaned_Data[[#This Row],[Circulating_Supply($)]]</f>
        <v>1.2297666126418152E-4</v>
      </c>
      <c r="J62">
        <f>RANK(Cleaned_Data[[#This Row],[Market Cap]],Cleaned_Data[Market Cap],0)</f>
        <v>61</v>
      </c>
      <c r="K62" t="str">
        <f t="shared" si="1"/>
        <v>0-0.5</v>
      </c>
    </row>
    <row r="63" spans="1:11" x14ac:dyDescent="0.35">
      <c r="A63" t="s">
        <v>410</v>
      </c>
      <c r="B63" t="s">
        <v>411</v>
      </c>
      <c r="C63">
        <v>2.3599999999999999E-2</v>
      </c>
      <c r="D63">
        <v>1.6000000000000001E-3</v>
      </c>
      <c r="E63">
        <v>45403740</v>
      </c>
      <c r="F63">
        <v>10853972</v>
      </c>
      <c r="G63" t="s">
        <v>415</v>
      </c>
      <c r="H63">
        <v>1920000000</v>
      </c>
      <c r="I63">
        <f>Cleaned_Data[[#This Row],[Volume (24h) USD]]/Cleaned_Data[[#This Row],[Circulating_Supply($)]]</f>
        <v>5.6531104166666667E-3</v>
      </c>
      <c r="J63">
        <f>RANK(Cleaned_Data[[#This Row],[Market Cap]],Cleaned_Data[Market Cap],0)</f>
        <v>62</v>
      </c>
      <c r="K63" t="str">
        <f t="shared" si="1"/>
        <v>0-0.5</v>
      </c>
    </row>
    <row r="64" spans="1:11" x14ac:dyDescent="0.35">
      <c r="A64" t="s">
        <v>416</v>
      </c>
      <c r="B64" t="s">
        <v>417</v>
      </c>
      <c r="C64">
        <v>6.7400000000000002E-2</v>
      </c>
      <c r="D64">
        <v>1.1900000000000001E-2</v>
      </c>
      <c r="E64">
        <v>45353098</v>
      </c>
      <c r="F64">
        <v>19016000</v>
      </c>
      <c r="G64" t="s">
        <v>422</v>
      </c>
      <c r="H64">
        <v>672700000</v>
      </c>
      <c r="I64">
        <f>Cleaned_Data[[#This Row],[Volume (24h) USD]]/Cleaned_Data[[#This Row],[Circulating_Supply($)]]</f>
        <v>2.8268173034041919E-2</v>
      </c>
      <c r="J64">
        <f>RANK(Cleaned_Data[[#This Row],[Market Cap]],Cleaned_Data[Market Cap],0)</f>
        <v>63</v>
      </c>
      <c r="K64" t="str">
        <f t="shared" si="1"/>
        <v>0-0.5</v>
      </c>
    </row>
    <row r="65" spans="1:11" x14ac:dyDescent="0.35">
      <c r="A65" t="s">
        <v>423</v>
      </c>
      <c r="B65" t="s">
        <v>424</v>
      </c>
      <c r="C65">
        <v>0.2525</v>
      </c>
      <c r="D65">
        <v>2.3999999999999998E-3</v>
      </c>
      <c r="E65">
        <v>45266206</v>
      </c>
      <c r="F65">
        <v>339268</v>
      </c>
      <c r="G65" t="s">
        <v>428</v>
      </c>
      <c r="H65">
        <v>179200000</v>
      </c>
      <c r="I65">
        <f>Cleaned_Data[[#This Row],[Volume (24h) USD]]/Cleaned_Data[[#This Row],[Circulating_Supply($)]]</f>
        <v>1.8932366071428572E-3</v>
      </c>
      <c r="J65">
        <f>RANK(Cleaned_Data[[#This Row],[Market Cap]],Cleaned_Data[Market Cap],0)</f>
        <v>64</v>
      </c>
      <c r="K65" t="str">
        <f t="shared" si="1"/>
        <v>0-0.5</v>
      </c>
    </row>
    <row r="66" spans="1:11" x14ac:dyDescent="0.35">
      <c r="A66" t="s">
        <v>429</v>
      </c>
      <c r="B66" t="s">
        <v>430</v>
      </c>
      <c r="C66">
        <v>1.24E-2</v>
      </c>
      <c r="D66">
        <v>5.8999999999999999E-3</v>
      </c>
      <c r="E66">
        <v>45071702</v>
      </c>
      <c r="F66">
        <v>10189722</v>
      </c>
      <c r="G66" t="s">
        <v>434</v>
      </c>
      <c r="H66">
        <v>3640000000</v>
      </c>
      <c r="I66">
        <f>Cleaned_Data[[#This Row],[Volume (24h) USD]]/Cleaned_Data[[#This Row],[Circulating_Supply($)]]</f>
        <v>2.7993741758241758E-3</v>
      </c>
      <c r="J66">
        <f>RANK(Cleaned_Data[[#This Row],[Market Cap]],Cleaned_Data[Market Cap],0)</f>
        <v>65</v>
      </c>
      <c r="K66" t="str">
        <f t="shared" ref="K66:K97" si="2">IF(C66&lt;=0.5,"0-0.5",
 IF(C66&lt;=1,"0.5-1",
  IF(C66&lt;=2,"1-2",
   IF(C66&lt;=10,"2-10",
    IF(C66&lt;=100,"10-100",
     IF(C66&lt;=10000,"100-10000",
      "10000+"))))))</f>
        <v>0-0.5</v>
      </c>
    </row>
    <row r="67" spans="1:11" x14ac:dyDescent="0.35">
      <c r="A67" t="s">
        <v>435</v>
      </c>
      <c r="B67" t="s">
        <v>436</v>
      </c>
      <c r="C67">
        <v>0.42049999999999998</v>
      </c>
      <c r="D67">
        <v>4.4999999999999997E-3</v>
      </c>
      <c r="E67">
        <v>45027836</v>
      </c>
      <c r="F67">
        <v>401821</v>
      </c>
      <c r="G67" t="s">
        <v>440</v>
      </c>
      <c r="H67">
        <v>107050000</v>
      </c>
      <c r="I67">
        <f>Cleaned_Data[[#This Row],[Volume (24h) USD]]/Cleaned_Data[[#This Row],[Circulating_Supply($)]]</f>
        <v>3.7535824381130312E-3</v>
      </c>
      <c r="J67">
        <f>RANK(Cleaned_Data[[#This Row],[Market Cap]],Cleaned_Data[Market Cap],0)</f>
        <v>66</v>
      </c>
      <c r="K67" t="str">
        <f t="shared" si="2"/>
        <v>0-0.5</v>
      </c>
    </row>
    <row r="68" spans="1:11" x14ac:dyDescent="0.35">
      <c r="A68" t="s">
        <v>446</v>
      </c>
      <c r="B68" t="s">
        <v>447</v>
      </c>
      <c r="C68">
        <v>1.01</v>
      </c>
      <c r="D68">
        <v>4.0000000000000001E-3</v>
      </c>
      <c r="E68">
        <v>44872405</v>
      </c>
      <c r="F68">
        <v>10068683</v>
      </c>
      <c r="G68" t="s">
        <v>452</v>
      </c>
      <c r="H68">
        <v>44050000</v>
      </c>
      <c r="I68">
        <f>Cleaned_Data[[#This Row],[Volume (24h) USD]]/Cleaned_Data[[#This Row],[Circulating_Supply($)]]</f>
        <v>0.22857396140749148</v>
      </c>
      <c r="J68">
        <f>RANK(Cleaned_Data[[#This Row],[Market Cap]],Cleaned_Data[Market Cap],0)</f>
        <v>67</v>
      </c>
      <c r="K68" t="str">
        <f t="shared" si="2"/>
        <v>1-2</v>
      </c>
    </row>
    <row r="69" spans="1:11" x14ac:dyDescent="0.35">
      <c r="A69" t="s">
        <v>453</v>
      </c>
      <c r="B69" t="s">
        <v>454</v>
      </c>
      <c r="C69">
        <v>0.249</v>
      </c>
      <c r="D69">
        <v>3.0999999999999999E-3</v>
      </c>
      <c r="E69">
        <v>44330157</v>
      </c>
      <c r="F69">
        <v>68082352</v>
      </c>
      <c r="G69" t="s">
        <v>458</v>
      </c>
      <c r="H69">
        <v>177960000</v>
      </c>
      <c r="I69">
        <f>Cleaned_Data[[#This Row],[Volume (24h) USD]]/Cleaned_Data[[#This Row],[Circulating_Supply($)]]</f>
        <v>0.38257109462800631</v>
      </c>
      <c r="J69">
        <f>RANK(Cleaned_Data[[#This Row],[Market Cap]],Cleaned_Data[Market Cap],0)</f>
        <v>68</v>
      </c>
      <c r="K69" t="str">
        <f t="shared" si="2"/>
        <v>0-0.5</v>
      </c>
    </row>
    <row r="70" spans="1:11" x14ac:dyDescent="0.35">
      <c r="A70" t="s">
        <v>459</v>
      </c>
      <c r="B70" t="s">
        <v>460</v>
      </c>
      <c r="C70">
        <v>0.1618</v>
      </c>
      <c r="D70">
        <v>2.9999999999999997E-4</v>
      </c>
      <c r="E70">
        <v>35354744</v>
      </c>
      <c r="F70">
        <v>121069</v>
      </c>
      <c r="G70" t="s">
        <v>464</v>
      </c>
      <c r="H70">
        <v>218430000</v>
      </c>
      <c r="I70">
        <f>Cleaned_Data[[#This Row],[Volume (24h) USD]]/Cleaned_Data[[#This Row],[Circulating_Supply($)]]</f>
        <v>5.5426910222954723E-4</v>
      </c>
      <c r="J70">
        <f>RANK(Cleaned_Data[[#This Row],[Market Cap]],Cleaned_Data[Market Cap],0)</f>
        <v>69</v>
      </c>
      <c r="K70" t="str">
        <f t="shared" si="2"/>
        <v>0-0.5</v>
      </c>
    </row>
    <row r="71" spans="1:11" x14ac:dyDescent="0.35">
      <c r="A71" t="s">
        <v>219</v>
      </c>
      <c r="B71" t="s">
        <v>465</v>
      </c>
      <c r="C71">
        <v>0.1431</v>
      </c>
      <c r="D71">
        <v>7.9000000000000008E-3</v>
      </c>
      <c r="E71">
        <v>35264904</v>
      </c>
      <c r="F71">
        <v>7857060</v>
      </c>
      <c r="G71" t="s">
        <v>470</v>
      </c>
      <c r="H71">
        <v>246360000</v>
      </c>
      <c r="I71">
        <f>Cleaned_Data[[#This Row],[Volume (24h) USD]]/Cleaned_Data[[#This Row],[Circulating_Supply($)]]</f>
        <v>3.1892596200681932E-2</v>
      </c>
      <c r="J71">
        <f>RANK(Cleaned_Data[[#This Row],[Market Cap]],Cleaned_Data[Market Cap],0)</f>
        <v>70</v>
      </c>
      <c r="K71" t="str">
        <f t="shared" si="2"/>
        <v>0-0.5</v>
      </c>
    </row>
    <row r="72" spans="1:11" x14ac:dyDescent="0.35">
      <c r="A72" t="s">
        <v>471</v>
      </c>
      <c r="B72" t="s">
        <v>472</v>
      </c>
      <c r="C72">
        <v>2.0500000000000001E-2</v>
      </c>
      <c r="D72">
        <v>1.1999999999999999E-3</v>
      </c>
      <c r="E72">
        <v>35141644</v>
      </c>
      <c r="F72">
        <v>129282</v>
      </c>
      <c r="G72" t="s">
        <v>477</v>
      </c>
      <c r="H72">
        <v>1710000000</v>
      </c>
      <c r="I72">
        <f>Cleaned_Data[[#This Row],[Volume (24h) USD]]/Cleaned_Data[[#This Row],[Circulating_Supply($)]]</f>
        <v>7.560350877192982E-5</v>
      </c>
      <c r="J72">
        <f>RANK(Cleaned_Data[[#This Row],[Market Cap]],Cleaned_Data[Market Cap],0)</f>
        <v>71</v>
      </c>
      <c r="K72" t="str">
        <f t="shared" si="2"/>
        <v>0-0.5</v>
      </c>
    </row>
    <row r="73" spans="1:11" x14ac:dyDescent="0.35">
      <c r="A73" t="s">
        <v>478</v>
      </c>
      <c r="B73" t="s">
        <v>479</v>
      </c>
      <c r="C73">
        <v>3.0099999999999998E-2</v>
      </c>
      <c r="D73">
        <v>2.5000000000000001E-3</v>
      </c>
      <c r="E73">
        <v>35138416</v>
      </c>
      <c r="F73">
        <v>5538677</v>
      </c>
      <c r="G73" t="s">
        <v>484</v>
      </c>
      <c r="H73">
        <v>1160000000</v>
      </c>
      <c r="I73">
        <f>Cleaned_Data[[#This Row],[Volume (24h) USD]]/Cleaned_Data[[#This Row],[Circulating_Supply($)]]</f>
        <v>4.7747215517241377E-3</v>
      </c>
      <c r="J73">
        <f>RANK(Cleaned_Data[[#This Row],[Market Cap]],Cleaned_Data[Market Cap],0)</f>
        <v>72</v>
      </c>
      <c r="K73" t="str">
        <f t="shared" si="2"/>
        <v>0-0.5</v>
      </c>
    </row>
    <row r="74" spans="1:11" x14ac:dyDescent="0.35">
      <c r="A74" t="s">
        <v>485</v>
      </c>
      <c r="B74" t="s">
        <v>485</v>
      </c>
      <c r="C74">
        <v>0.89870000000000005</v>
      </c>
      <c r="D74">
        <v>8.9999999999999993E-3</v>
      </c>
      <c r="E74">
        <v>35080411</v>
      </c>
      <c r="F74">
        <v>9778739</v>
      </c>
      <c r="G74" t="s">
        <v>490</v>
      </c>
      <c r="H74">
        <v>39030000</v>
      </c>
      <c r="I74">
        <f>Cleaned_Data[[#This Row],[Volume (24h) USD]]/Cleaned_Data[[#This Row],[Circulating_Supply($)]]</f>
        <v>0.25054417115039712</v>
      </c>
      <c r="J74">
        <f>RANK(Cleaned_Data[[#This Row],[Market Cap]],Cleaned_Data[Market Cap],0)</f>
        <v>73</v>
      </c>
      <c r="K74" t="str">
        <f t="shared" si="2"/>
        <v>0.5-1</v>
      </c>
    </row>
    <row r="75" spans="1:11" x14ac:dyDescent="0.35">
      <c r="A75" t="s">
        <v>491</v>
      </c>
      <c r="B75" t="s">
        <v>492</v>
      </c>
      <c r="C75">
        <v>0.1125</v>
      </c>
      <c r="D75">
        <v>6.6E-3</v>
      </c>
      <c r="E75">
        <v>35034139</v>
      </c>
      <c r="F75">
        <v>50371789</v>
      </c>
      <c r="G75" t="s">
        <v>497</v>
      </c>
      <c r="H75">
        <v>311300000</v>
      </c>
      <c r="I75">
        <f>Cleaned_Data[[#This Row],[Volume (24h) USD]]/Cleaned_Data[[#This Row],[Circulating_Supply($)]]</f>
        <v>0.16181107934468358</v>
      </c>
      <c r="J75">
        <f>RANK(Cleaned_Data[[#This Row],[Market Cap]],Cleaned_Data[Market Cap],0)</f>
        <v>74</v>
      </c>
      <c r="K75" t="str">
        <f t="shared" si="2"/>
        <v>0-0.5</v>
      </c>
    </row>
    <row r="76" spans="1:11" x14ac:dyDescent="0.35">
      <c r="A76" t="s">
        <v>498</v>
      </c>
      <c r="B76" t="s">
        <v>499</v>
      </c>
      <c r="C76">
        <v>6.1000000000000004E-3</v>
      </c>
      <c r="D76">
        <v>1.4E-3</v>
      </c>
      <c r="E76">
        <v>34972612</v>
      </c>
      <c r="F76">
        <v>1391859</v>
      </c>
      <c r="G76" t="s">
        <v>503</v>
      </c>
      <c r="H76">
        <v>5730000000</v>
      </c>
      <c r="I76">
        <f>Cleaned_Data[[#This Row],[Volume (24h) USD]]/Cleaned_Data[[#This Row],[Circulating_Supply($)]]</f>
        <v>2.4290732984293194E-4</v>
      </c>
      <c r="J76">
        <f>RANK(Cleaned_Data[[#This Row],[Market Cap]],Cleaned_Data[Market Cap],0)</f>
        <v>75</v>
      </c>
      <c r="K76" t="str">
        <f t="shared" si="2"/>
        <v>0-0.5</v>
      </c>
    </row>
    <row r="77" spans="1:11" x14ac:dyDescent="0.35">
      <c r="A77" t="s">
        <v>504</v>
      </c>
      <c r="B77" t="s">
        <v>505</v>
      </c>
      <c r="C77">
        <v>1.23</v>
      </c>
      <c r="D77">
        <v>2.0000000000000001E-4</v>
      </c>
      <c r="E77">
        <v>34798359</v>
      </c>
      <c r="F77">
        <v>75600</v>
      </c>
      <c r="G77" t="s">
        <v>509</v>
      </c>
      <c r="H77">
        <v>28270000</v>
      </c>
      <c r="I77">
        <f>Cleaned_Data[[#This Row],[Volume (24h) USD]]/Cleaned_Data[[#This Row],[Circulating_Supply($)]]</f>
        <v>2.6742129465864876E-3</v>
      </c>
      <c r="J77">
        <f>RANK(Cleaned_Data[[#This Row],[Market Cap]],Cleaned_Data[Market Cap],0)</f>
        <v>76</v>
      </c>
      <c r="K77" t="str">
        <f t="shared" si="2"/>
        <v>1-2</v>
      </c>
    </row>
    <row r="78" spans="1:11" x14ac:dyDescent="0.35">
      <c r="A78" t="s">
        <v>510</v>
      </c>
      <c r="B78" t="s">
        <v>510</v>
      </c>
      <c r="C78">
        <v>2.2800000000000001E-2</v>
      </c>
      <c r="D78">
        <v>1.9E-3</v>
      </c>
      <c r="E78">
        <v>34575104</v>
      </c>
      <c r="F78">
        <v>18844509</v>
      </c>
      <c r="G78" t="s">
        <v>514</v>
      </c>
      <c r="H78">
        <v>1510000000</v>
      </c>
      <c r="I78">
        <f>Cleaned_Data[[#This Row],[Volume (24h) USD]]/Cleaned_Data[[#This Row],[Circulating_Supply($)]]</f>
        <v>1.2479807284768211E-2</v>
      </c>
      <c r="J78">
        <f>RANK(Cleaned_Data[[#This Row],[Market Cap]],Cleaned_Data[Market Cap],0)</f>
        <v>77</v>
      </c>
      <c r="K78" t="str">
        <f t="shared" si="2"/>
        <v>0-0.5</v>
      </c>
    </row>
    <row r="79" spans="1:11" x14ac:dyDescent="0.35">
      <c r="A79" t="s">
        <v>515</v>
      </c>
      <c r="B79" t="s">
        <v>516</v>
      </c>
      <c r="C79">
        <v>3.6900000000000002E-2</v>
      </c>
      <c r="D79">
        <v>7.1999999999999998E-3</v>
      </c>
      <c r="E79">
        <v>34508739</v>
      </c>
      <c r="F79">
        <v>8324722</v>
      </c>
      <c r="G79" t="s">
        <v>521</v>
      </c>
      <c r="H79">
        <v>935810000</v>
      </c>
      <c r="I79">
        <f>Cleaned_Data[[#This Row],[Volume (24h) USD]]/Cleaned_Data[[#This Row],[Circulating_Supply($)]]</f>
        <v>8.8957395197743136E-3</v>
      </c>
      <c r="J79">
        <f>RANK(Cleaned_Data[[#This Row],[Market Cap]],Cleaned_Data[Market Cap],0)</f>
        <v>78</v>
      </c>
      <c r="K79" t="str">
        <f t="shared" si="2"/>
        <v>0-0.5</v>
      </c>
    </row>
    <row r="80" spans="1:11" x14ac:dyDescent="0.35">
      <c r="A80" t="s">
        <v>522</v>
      </c>
      <c r="B80" t="s">
        <v>522</v>
      </c>
      <c r="C80">
        <v>3.1899999999999998E-2</v>
      </c>
      <c r="D80">
        <v>2.1600000000000001E-2</v>
      </c>
      <c r="E80">
        <v>26070319</v>
      </c>
      <c r="F80">
        <v>467706</v>
      </c>
      <c r="G80" t="s">
        <v>527</v>
      </c>
      <c r="H80">
        <v>818170000</v>
      </c>
      <c r="I80">
        <f>Cleaned_Data[[#This Row],[Volume (24h) USD]]/Cleaned_Data[[#This Row],[Circulating_Supply($)]]</f>
        <v>5.7164892381778845E-4</v>
      </c>
      <c r="J80">
        <f>RANK(Cleaned_Data[[#This Row],[Market Cap]],Cleaned_Data[Market Cap],0)</f>
        <v>79</v>
      </c>
      <c r="K80" t="str">
        <f t="shared" si="2"/>
        <v>0-0.5</v>
      </c>
    </row>
    <row r="81" spans="1:11" x14ac:dyDescent="0.35">
      <c r="A81" t="s">
        <v>528</v>
      </c>
      <c r="B81" t="s">
        <v>529</v>
      </c>
      <c r="C81">
        <v>3.8999999999999998E-3</v>
      </c>
      <c r="D81">
        <v>1.5900000000000001E-2</v>
      </c>
      <c r="E81">
        <v>26014561</v>
      </c>
      <c r="F81">
        <v>6727701</v>
      </c>
      <c r="G81" t="s">
        <v>534</v>
      </c>
      <c r="H81">
        <v>6670000000</v>
      </c>
      <c r="I81">
        <f>Cleaned_Data[[#This Row],[Volume (24h) USD]]/Cleaned_Data[[#This Row],[Circulating_Supply($)]]</f>
        <v>1.0086508245877061E-3</v>
      </c>
      <c r="J81">
        <f>RANK(Cleaned_Data[[#This Row],[Market Cap]],Cleaned_Data[Market Cap],0)</f>
        <v>80</v>
      </c>
      <c r="K81" t="str">
        <f t="shared" si="2"/>
        <v>0-0.5</v>
      </c>
    </row>
    <row r="82" spans="1:11" x14ac:dyDescent="0.35">
      <c r="A82" t="s">
        <v>535</v>
      </c>
      <c r="B82" t="s">
        <v>536</v>
      </c>
      <c r="C82">
        <v>0.62219999999999998</v>
      </c>
      <c r="D82">
        <v>6.7000000000000002E-3</v>
      </c>
      <c r="E82">
        <v>25922954</v>
      </c>
      <c r="F82">
        <v>9982050</v>
      </c>
      <c r="G82" t="s">
        <v>540</v>
      </c>
      <c r="H82">
        <v>41650000</v>
      </c>
      <c r="I82">
        <f>Cleaned_Data[[#This Row],[Volume (24h) USD]]/Cleaned_Data[[#This Row],[Circulating_Supply($)]]</f>
        <v>0.23966506602641058</v>
      </c>
      <c r="J82">
        <f>RANK(Cleaned_Data[[#This Row],[Market Cap]],Cleaned_Data[Market Cap],0)</f>
        <v>81</v>
      </c>
      <c r="K82" t="str">
        <f t="shared" si="2"/>
        <v>0.5-1</v>
      </c>
    </row>
    <row r="83" spans="1:11" x14ac:dyDescent="0.35">
      <c r="A83" t="s">
        <v>541</v>
      </c>
      <c r="B83" t="s">
        <v>542</v>
      </c>
      <c r="C83">
        <v>7.6200000000000004E-2</v>
      </c>
      <c r="D83">
        <v>3.7000000000000002E-3</v>
      </c>
      <c r="E83">
        <v>25873467</v>
      </c>
      <c r="F83">
        <v>11510400</v>
      </c>
      <c r="G83" t="s">
        <v>547</v>
      </c>
      <c r="H83">
        <v>420690000000000</v>
      </c>
      <c r="I83">
        <f>Cleaned_Data[[#This Row],[Volume (24h) USD]]/Cleaned_Data[[#This Row],[Circulating_Supply($)]]</f>
        <v>2.736076445838979E-8</v>
      </c>
      <c r="J83">
        <f>RANK(Cleaned_Data[[#This Row],[Market Cap]],Cleaned_Data[Market Cap],0)</f>
        <v>82</v>
      </c>
      <c r="K83" t="str">
        <f t="shared" si="2"/>
        <v>0-0.5</v>
      </c>
    </row>
    <row r="84" spans="1:11" x14ac:dyDescent="0.35">
      <c r="A84" t="s">
        <v>548</v>
      </c>
      <c r="B84" t="s">
        <v>548</v>
      </c>
      <c r="C84">
        <v>2.1100000000000001E-2</v>
      </c>
      <c r="D84">
        <v>5.0000000000000001E-3</v>
      </c>
      <c r="E84">
        <v>25788064</v>
      </c>
      <c r="F84">
        <v>1225263</v>
      </c>
      <c r="G84" t="s">
        <v>552</v>
      </c>
      <c r="H84">
        <v>1220000000</v>
      </c>
      <c r="I84">
        <f>Cleaned_Data[[#This Row],[Volume (24h) USD]]/Cleaned_Data[[#This Row],[Circulating_Supply($)]]</f>
        <v>1.0043139344262295E-3</v>
      </c>
      <c r="J84">
        <f>RANK(Cleaned_Data[[#This Row],[Market Cap]],Cleaned_Data[Market Cap],0)</f>
        <v>83</v>
      </c>
      <c r="K84" t="str">
        <f t="shared" si="2"/>
        <v>0-0.5</v>
      </c>
    </row>
    <row r="85" spans="1:11" x14ac:dyDescent="0.35">
      <c r="A85" t="s">
        <v>553</v>
      </c>
      <c r="B85" t="s">
        <v>554</v>
      </c>
      <c r="C85">
        <v>2.58E-2</v>
      </c>
      <c r="D85">
        <v>1.09E-2</v>
      </c>
      <c r="E85">
        <v>25759341</v>
      </c>
      <c r="F85">
        <v>2642277</v>
      </c>
      <c r="G85" t="s">
        <v>126</v>
      </c>
      <c r="H85">
        <v>1000000000</v>
      </c>
      <c r="I85">
        <f>Cleaned_Data[[#This Row],[Volume (24h) USD]]/Cleaned_Data[[#This Row],[Circulating_Supply($)]]</f>
        <v>2.6422770000000002E-3</v>
      </c>
      <c r="J85">
        <f>RANK(Cleaned_Data[[#This Row],[Market Cap]],Cleaned_Data[Market Cap],0)</f>
        <v>84</v>
      </c>
      <c r="K85" t="str">
        <f t="shared" si="2"/>
        <v>0-0.5</v>
      </c>
    </row>
    <row r="86" spans="1:11" x14ac:dyDescent="0.35">
      <c r="A86" t="s">
        <v>559</v>
      </c>
      <c r="B86" t="s">
        <v>560</v>
      </c>
      <c r="C86">
        <v>0.1085</v>
      </c>
      <c r="D86">
        <v>0</v>
      </c>
      <c r="E86">
        <v>25730460</v>
      </c>
      <c r="F86">
        <v>64349</v>
      </c>
      <c r="G86" t="s">
        <v>564</v>
      </c>
      <c r="H86">
        <v>236990000</v>
      </c>
      <c r="I86">
        <f>Cleaned_Data[[#This Row],[Volume (24h) USD]]/Cleaned_Data[[#This Row],[Circulating_Supply($)]]</f>
        <v>2.715262247352209E-4</v>
      </c>
      <c r="J86">
        <f>RANK(Cleaned_Data[[#This Row],[Market Cap]],Cleaned_Data[Market Cap],0)</f>
        <v>85</v>
      </c>
      <c r="K86" t="str">
        <f t="shared" si="2"/>
        <v>0-0.5</v>
      </c>
    </row>
    <row r="87" spans="1:11" x14ac:dyDescent="0.35">
      <c r="A87" t="s">
        <v>565</v>
      </c>
      <c r="B87" t="s">
        <v>566</v>
      </c>
      <c r="C87">
        <v>9.5600000000000004E-2</v>
      </c>
      <c r="D87">
        <v>9.1999999999999998E-3</v>
      </c>
      <c r="E87">
        <v>25696932</v>
      </c>
      <c r="F87">
        <v>1704625</v>
      </c>
      <c r="G87" t="s">
        <v>571</v>
      </c>
      <c r="H87">
        <v>268880000</v>
      </c>
      <c r="I87">
        <f>Cleaned_Data[[#This Row],[Volume (24h) USD]]/Cleaned_Data[[#This Row],[Circulating_Supply($)]]</f>
        <v>6.3397240404641474E-3</v>
      </c>
      <c r="J87">
        <f>RANK(Cleaned_Data[[#This Row],[Market Cap]],Cleaned_Data[Market Cap],0)</f>
        <v>86</v>
      </c>
      <c r="K87" t="str">
        <f t="shared" si="2"/>
        <v>0-0.5</v>
      </c>
    </row>
    <row r="88" spans="1:11" x14ac:dyDescent="0.35">
      <c r="A88" t="s">
        <v>572</v>
      </c>
      <c r="B88" t="s">
        <v>573</v>
      </c>
      <c r="C88">
        <v>2.5499999999999998E-2</v>
      </c>
      <c r="D88">
        <v>5.9999999999999995E-4</v>
      </c>
      <c r="E88">
        <v>25507544</v>
      </c>
      <c r="F88">
        <v>5524554</v>
      </c>
      <c r="G88" t="s">
        <v>577</v>
      </c>
      <c r="H88">
        <v>999970000</v>
      </c>
      <c r="I88">
        <f>Cleaned_Data[[#This Row],[Volume (24h) USD]]/Cleaned_Data[[#This Row],[Circulating_Supply($)]]</f>
        <v>5.5247197415922477E-3</v>
      </c>
      <c r="J88">
        <f>RANK(Cleaned_Data[[#This Row],[Market Cap]],Cleaned_Data[Market Cap],0)</f>
        <v>87</v>
      </c>
      <c r="K88" t="str">
        <f t="shared" si="2"/>
        <v>0-0.5</v>
      </c>
    </row>
    <row r="89" spans="1:11" x14ac:dyDescent="0.35">
      <c r="A89" t="s">
        <v>578</v>
      </c>
      <c r="B89" t="s">
        <v>579</v>
      </c>
      <c r="C89">
        <v>0.85289999999999999</v>
      </c>
      <c r="D89">
        <v>1.2999999999999999E-3</v>
      </c>
      <c r="E89">
        <v>25471481</v>
      </c>
      <c r="F89">
        <v>43405</v>
      </c>
      <c r="G89" t="s">
        <v>583</v>
      </c>
      <c r="H89">
        <v>29860000</v>
      </c>
      <c r="I89">
        <f>Cleaned_Data[[#This Row],[Volume (24h) USD]]/Cleaned_Data[[#This Row],[Circulating_Supply($)]]</f>
        <v>1.4536168787675819E-3</v>
      </c>
      <c r="J89">
        <f>RANK(Cleaned_Data[[#This Row],[Market Cap]],Cleaned_Data[Market Cap],0)</f>
        <v>88</v>
      </c>
      <c r="K89" t="str">
        <f t="shared" si="2"/>
        <v>0.5-1</v>
      </c>
    </row>
    <row r="90" spans="1:11" x14ac:dyDescent="0.35">
      <c r="A90" t="s">
        <v>584</v>
      </c>
      <c r="B90" t="s">
        <v>584</v>
      </c>
      <c r="C90">
        <v>0.99880000000000002</v>
      </c>
      <c r="D90">
        <v>2.9999999999999997E-4</v>
      </c>
      <c r="E90">
        <v>18990853</v>
      </c>
      <c r="F90">
        <v>228239</v>
      </c>
      <c r="G90" t="s">
        <v>588</v>
      </c>
      <c r="H90">
        <v>19010000</v>
      </c>
      <c r="I90">
        <f>Cleaned_Data[[#This Row],[Volume (24h) USD]]/Cleaned_Data[[#This Row],[Circulating_Supply($)]]</f>
        <v>1.2006259863229878E-2</v>
      </c>
      <c r="J90">
        <f>RANK(Cleaned_Data[[#This Row],[Market Cap]],Cleaned_Data[Market Cap],0)</f>
        <v>89</v>
      </c>
      <c r="K90" t="str">
        <f t="shared" si="2"/>
        <v>0.5-1</v>
      </c>
    </row>
    <row r="91" spans="1:11" x14ac:dyDescent="0.35">
      <c r="A91" t="s">
        <v>589</v>
      </c>
      <c r="B91" t="s">
        <v>590</v>
      </c>
      <c r="C91">
        <v>3.7900000000000003E-2</v>
      </c>
      <c r="D91">
        <v>0</v>
      </c>
      <c r="E91">
        <v>18961083</v>
      </c>
      <c r="F91">
        <v>706323</v>
      </c>
      <c r="G91" t="s">
        <v>594</v>
      </c>
      <c r="H91">
        <v>500000000</v>
      </c>
      <c r="I91">
        <f>Cleaned_Data[[#This Row],[Volume (24h) USD]]/Cleaned_Data[[#This Row],[Circulating_Supply($)]]</f>
        <v>1.412646E-3</v>
      </c>
      <c r="J91">
        <f>RANK(Cleaned_Data[[#This Row],[Market Cap]],Cleaned_Data[Market Cap],0)</f>
        <v>90</v>
      </c>
      <c r="K91" t="str">
        <f t="shared" si="2"/>
        <v>0-0.5</v>
      </c>
    </row>
    <row r="92" spans="1:11" x14ac:dyDescent="0.35">
      <c r="A92" t="s">
        <v>595</v>
      </c>
      <c r="B92" t="s">
        <v>596</v>
      </c>
      <c r="C92">
        <v>0.02</v>
      </c>
      <c r="D92">
        <v>2.9999999999999997E-4</v>
      </c>
      <c r="E92">
        <v>18957669</v>
      </c>
      <c r="F92">
        <v>357326</v>
      </c>
      <c r="G92" t="s">
        <v>600</v>
      </c>
      <c r="H92">
        <v>946970000</v>
      </c>
      <c r="I92">
        <f>Cleaned_Data[[#This Row],[Volume (24h) USD]]/Cleaned_Data[[#This Row],[Circulating_Supply($)]]</f>
        <v>3.7733613525243673E-4</v>
      </c>
      <c r="J92">
        <f>RANK(Cleaned_Data[[#This Row],[Market Cap]],Cleaned_Data[Market Cap],0)</f>
        <v>91</v>
      </c>
      <c r="K92" t="str">
        <f t="shared" si="2"/>
        <v>0-0.5</v>
      </c>
    </row>
    <row r="93" spans="1:11" x14ac:dyDescent="0.35">
      <c r="A93" t="s">
        <v>601</v>
      </c>
      <c r="B93" t="s">
        <v>602</v>
      </c>
      <c r="C93">
        <v>8.1699999999999995E-2</v>
      </c>
      <c r="D93">
        <v>5.1999999999999998E-3</v>
      </c>
      <c r="E93">
        <v>18817231</v>
      </c>
      <c r="F93">
        <v>5622803</v>
      </c>
      <c r="G93" t="s">
        <v>606</v>
      </c>
      <c r="H93">
        <v>230250000</v>
      </c>
      <c r="I93">
        <f>Cleaned_Data[[#This Row],[Volume (24h) USD]]/Cleaned_Data[[#This Row],[Circulating_Supply($)]]</f>
        <v>2.4420425624321389E-2</v>
      </c>
      <c r="J93">
        <f>RANK(Cleaned_Data[[#This Row],[Market Cap]],Cleaned_Data[Market Cap],0)</f>
        <v>92</v>
      </c>
      <c r="K93" t="str">
        <f t="shared" si="2"/>
        <v>0-0.5</v>
      </c>
    </row>
    <row r="94" spans="1:11" x14ac:dyDescent="0.35">
      <c r="A94" t="s">
        <v>607</v>
      </c>
      <c r="B94" t="s">
        <v>608</v>
      </c>
      <c r="C94">
        <v>5.4999999999999997E-3</v>
      </c>
      <c r="D94">
        <v>1.06E-2</v>
      </c>
      <c r="E94">
        <v>18668308</v>
      </c>
      <c r="F94">
        <v>181555</v>
      </c>
      <c r="G94" t="s">
        <v>613</v>
      </c>
      <c r="H94">
        <v>3390000000</v>
      </c>
      <c r="I94">
        <f>Cleaned_Data[[#This Row],[Volume (24h) USD]]/Cleaned_Data[[#This Row],[Circulating_Supply($)]]</f>
        <v>5.3556047197640117E-5</v>
      </c>
      <c r="J94">
        <f>RANK(Cleaned_Data[[#This Row],[Market Cap]],Cleaned_Data[Market Cap],0)</f>
        <v>93</v>
      </c>
      <c r="K94" t="str">
        <f t="shared" si="2"/>
        <v>0-0.5</v>
      </c>
    </row>
    <row r="95" spans="1:11" x14ac:dyDescent="0.35">
      <c r="A95" t="s">
        <v>614</v>
      </c>
      <c r="B95" t="s">
        <v>615</v>
      </c>
      <c r="C95">
        <v>3.8899999999999997E-2</v>
      </c>
      <c r="D95">
        <v>0</v>
      </c>
      <c r="E95">
        <v>18667205</v>
      </c>
      <c r="F95">
        <v>1002</v>
      </c>
      <c r="G95" t="s">
        <v>619</v>
      </c>
      <c r="H95">
        <v>479990000</v>
      </c>
      <c r="I95">
        <f>Cleaned_Data[[#This Row],[Volume (24h) USD]]/Cleaned_Data[[#This Row],[Circulating_Supply($)]]</f>
        <v>2.0875434904893851E-6</v>
      </c>
      <c r="J95">
        <f>RANK(Cleaned_Data[[#This Row],[Market Cap]],Cleaned_Data[Market Cap],0)</f>
        <v>94</v>
      </c>
      <c r="K95" t="str">
        <f t="shared" si="2"/>
        <v>0-0.5</v>
      </c>
    </row>
    <row r="96" spans="1:11" x14ac:dyDescent="0.35">
      <c r="A96" t="s">
        <v>620</v>
      </c>
      <c r="B96" t="s">
        <v>621</v>
      </c>
      <c r="C96">
        <v>9.4000000000000004E-3</v>
      </c>
      <c r="D96">
        <v>4.0000000000000002E-4</v>
      </c>
      <c r="E96">
        <v>18606007</v>
      </c>
      <c r="F96">
        <v>189918</v>
      </c>
      <c r="G96" t="s">
        <v>625</v>
      </c>
      <c r="H96">
        <v>1980000000</v>
      </c>
      <c r="I96">
        <f>Cleaned_Data[[#This Row],[Volume (24h) USD]]/Cleaned_Data[[#This Row],[Circulating_Supply($)]]</f>
        <v>9.591818181818182E-5</v>
      </c>
      <c r="J96">
        <f>RANK(Cleaned_Data[[#This Row],[Market Cap]],Cleaned_Data[Market Cap],0)</f>
        <v>95</v>
      </c>
      <c r="K96" t="str">
        <f t="shared" si="2"/>
        <v>0-0.5</v>
      </c>
    </row>
    <row r="97" spans="1:11" x14ac:dyDescent="0.35">
      <c r="A97" t="s">
        <v>626</v>
      </c>
      <c r="B97" t="s">
        <v>627</v>
      </c>
      <c r="C97">
        <v>6.6400000000000001E-2</v>
      </c>
      <c r="D97">
        <v>6.9999999999999999E-4</v>
      </c>
      <c r="E97">
        <v>18591856</v>
      </c>
      <c r="F97">
        <v>4765140</v>
      </c>
      <c r="G97" t="s">
        <v>631</v>
      </c>
      <c r="H97">
        <v>280000000</v>
      </c>
      <c r="I97">
        <f>Cleaned_Data[[#This Row],[Volume (24h) USD]]/Cleaned_Data[[#This Row],[Circulating_Supply($)]]</f>
        <v>1.7018357142857144E-2</v>
      </c>
      <c r="J97">
        <f>RANK(Cleaned_Data[[#This Row],[Market Cap]],Cleaned_Data[Market Cap],0)</f>
        <v>96</v>
      </c>
      <c r="K97" t="str">
        <f t="shared" si="2"/>
        <v>0-0.5</v>
      </c>
    </row>
    <row r="98" spans="1:11" x14ac:dyDescent="0.35">
      <c r="A98" t="s">
        <v>632</v>
      </c>
      <c r="B98" t="s">
        <v>633</v>
      </c>
      <c r="C98">
        <v>2.18E-2</v>
      </c>
      <c r="D98">
        <v>7.7000000000000002E-3</v>
      </c>
      <c r="E98">
        <v>18540898</v>
      </c>
      <c r="F98">
        <v>4492892</v>
      </c>
      <c r="G98" t="s">
        <v>637</v>
      </c>
      <c r="H98">
        <v>850960000</v>
      </c>
      <c r="I98">
        <f>Cleaned_Data[[#This Row],[Volume (24h) USD]]/Cleaned_Data[[#This Row],[Circulating_Supply($)]]</f>
        <v>5.2797922346526274E-3</v>
      </c>
      <c r="J98">
        <f>RANK(Cleaned_Data[[#This Row],[Market Cap]],Cleaned_Data[Market Cap],0)</f>
        <v>97</v>
      </c>
      <c r="K98" t="str">
        <f t="shared" ref="K98:K129" si="3">IF(C98&lt;=0.5,"0-0.5",
 IF(C98&lt;=1,"0.5-1",
  IF(C98&lt;=2,"1-2",
   IF(C98&lt;=10,"2-10",
    IF(C98&lt;=100,"10-100",
     IF(C98&lt;=10000,"100-10000",
      "10000+"))))))</f>
        <v>0-0.5</v>
      </c>
    </row>
    <row r="99" spans="1:11" x14ac:dyDescent="0.35">
      <c r="A99" t="s">
        <v>638</v>
      </c>
      <c r="B99" t="s">
        <v>639</v>
      </c>
      <c r="C99">
        <v>16.850000000000001</v>
      </c>
      <c r="D99">
        <v>5.0000000000000001E-3</v>
      </c>
      <c r="E99">
        <v>18536240</v>
      </c>
      <c r="F99">
        <v>119734</v>
      </c>
      <c r="G99" t="s">
        <v>643</v>
      </c>
      <c r="H99">
        <v>1100000</v>
      </c>
      <c r="I99">
        <f>Cleaned_Data[[#This Row],[Volume (24h) USD]]/Cleaned_Data[[#This Row],[Circulating_Supply($)]]</f>
        <v>0.10884909090909091</v>
      </c>
      <c r="J99">
        <f>RANK(Cleaned_Data[[#This Row],[Market Cap]],Cleaned_Data[Market Cap],0)</f>
        <v>98</v>
      </c>
      <c r="K99" t="str">
        <f t="shared" si="3"/>
        <v>10-100</v>
      </c>
    </row>
    <row r="100" spans="1:11" x14ac:dyDescent="0.35">
      <c r="A100" t="s">
        <v>644</v>
      </c>
      <c r="B100" t="s">
        <v>645</v>
      </c>
      <c r="C100">
        <v>0.1108</v>
      </c>
      <c r="D100">
        <v>1.04E-2</v>
      </c>
      <c r="E100">
        <v>14785022</v>
      </c>
      <c r="F100">
        <v>32485149</v>
      </c>
      <c r="G100" t="s">
        <v>650</v>
      </c>
      <c r="H100">
        <v>133389999.99999999</v>
      </c>
      <c r="I100">
        <f>Cleaned_Data[[#This Row],[Volume (24h) USD]]/Cleaned_Data[[#This Row],[Circulating_Supply($)]]</f>
        <v>0.24353511507609268</v>
      </c>
      <c r="J100">
        <f>RANK(Cleaned_Data[[#This Row],[Market Cap]],Cleaned_Data[Market Cap],0)</f>
        <v>99</v>
      </c>
      <c r="K100" t="str">
        <f t="shared" si="3"/>
        <v>0-0.5</v>
      </c>
    </row>
    <row r="101" spans="1:11" x14ac:dyDescent="0.35">
      <c r="A101" t="s">
        <v>651</v>
      </c>
      <c r="B101" t="s">
        <v>651</v>
      </c>
      <c r="C101">
        <v>7.0000000000000001E-3</v>
      </c>
      <c r="D101">
        <v>4.5999999999999999E-3</v>
      </c>
      <c r="E101">
        <v>14719301</v>
      </c>
      <c r="F101">
        <v>138</v>
      </c>
      <c r="G101" t="s">
        <v>656</v>
      </c>
      <c r="H101">
        <v>2089999999.9999998</v>
      </c>
      <c r="I101">
        <f>Cleaned_Data[[#This Row],[Volume (24h) USD]]/Cleaned_Data[[#This Row],[Circulating_Supply($)]]</f>
        <v>6.6028708133971298E-8</v>
      </c>
      <c r="J101">
        <f>RANK(Cleaned_Data[[#This Row],[Market Cap]],Cleaned_Data[Market Cap],0)</f>
        <v>100</v>
      </c>
      <c r="K101" t="str">
        <f t="shared" si="3"/>
        <v>0-0.5</v>
      </c>
    </row>
    <row r="102" spans="1:11" x14ac:dyDescent="0.35">
      <c r="A102" t="s">
        <v>657</v>
      </c>
      <c r="B102" t="s">
        <v>658</v>
      </c>
      <c r="C102">
        <v>4.0000000000000002E-4</v>
      </c>
      <c r="D102">
        <v>1.1000000000000001E-3</v>
      </c>
      <c r="E102">
        <v>14681529</v>
      </c>
      <c r="F102">
        <v>499518</v>
      </c>
      <c r="G102" t="s">
        <v>662</v>
      </c>
      <c r="H102">
        <v>40640000000</v>
      </c>
      <c r="I102">
        <f>Cleaned_Data[[#This Row],[Volume (24h) USD]]/Cleaned_Data[[#This Row],[Circulating_Supply($)]]</f>
        <v>1.2291289370078741E-5</v>
      </c>
      <c r="J102">
        <f>RANK(Cleaned_Data[[#This Row],[Market Cap]],Cleaned_Data[Market Cap],0)</f>
        <v>101</v>
      </c>
      <c r="K102" t="str">
        <f t="shared" si="3"/>
        <v>0-0.5</v>
      </c>
    </row>
    <row r="103" spans="1:11" x14ac:dyDescent="0.35">
      <c r="A103" t="s">
        <v>663</v>
      </c>
      <c r="B103" t="s">
        <v>664</v>
      </c>
      <c r="C103">
        <v>2.0000000000000001E-4</v>
      </c>
      <c r="D103">
        <v>5.1999999999999998E-3</v>
      </c>
      <c r="E103">
        <v>14616635</v>
      </c>
      <c r="F103">
        <v>6112676</v>
      </c>
      <c r="G103" t="s">
        <v>668</v>
      </c>
      <c r="H103">
        <v>69000000000</v>
      </c>
      <c r="I103">
        <f>Cleaned_Data[[#This Row],[Volume (24h) USD]]/Cleaned_Data[[#This Row],[Circulating_Supply($)]]</f>
        <v>8.8589507246376807E-5</v>
      </c>
      <c r="J103">
        <f>RANK(Cleaned_Data[[#This Row],[Market Cap]],Cleaned_Data[Market Cap],0)</f>
        <v>102</v>
      </c>
      <c r="K103" t="str">
        <f t="shared" si="3"/>
        <v>0-0.5</v>
      </c>
    </row>
    <row r="104" spans="1:11" x14ac:dyDescent="0.35">
      <c r="A104" t="s">
        <v>669</v>
      </c>
      <c r="B104" t="s">
        <v>670</v>
      </c>
      <c r="C104">
        <v>3.32E-2</v>
      </c>
      <c r="D104">
        <v>0</v>
      </c>
      <c r="E104">
        <v>14606826</v>
      </c>
      <c r="F104">
        <v>4251361</v>
      </c>
      <c r="G104" t="s">
        <v>674</v>
      </c>
      <c r="H104">
        <v>439650000</v>
      </c>
      <c r="I104">
        <f>Cleaned_Data[[#This Row],[Volume (24h) USD]]/Cleaned_Data[[#This Row],[Circulating_Supply($)]]</f>
        <v>9.6698760377573068E-3</v>
      </c>
      <c r="J104">
        <f>RANK(Cleaned_Data[[#This Row],[Market Cap]],Cleaned_Data[Market Cap],0)</f>
        <v>103</v>
      </c>
      <c r="K104" t="str">
        <f t="shared" si="3"/>
        <v>0-0.5</v>
      </c>
    </row>
    <row r="105" spans="1:11" x14ac:dyDescent="0.35">
      <c r="A105" t="s">
        <v>675</v>
      </c>
      <c r="B105" t="s">
        <v>676</v>
      </c>
      <c r="C105">
        <v>2.9899999999999999E-2</v>
      </c>
      <c r="D105">
        <v>1E-4</v>
      </c>
      <c r="E105">
        <v>14570562</v>
      </c>
      <c r="F105">
        <v>316134</v>
      </c>
      <c r="G105" t="s">
        <v>680</v>
      </c>
      <c r="H105">
        <v>487690000</v>
      </c>
      <c r="I105">
        <f>Cleaned_Data[[#This Row],[Volume (24h) USD]]/Cleaned_Data[[#This Row],[Circulating_Supply($)]]</f>
        <v>6.4822735754270131E-4</v>
      </c>
      <c r="J105">
        <f>RANK(Cleaned_Data[[#This Row],[Market Cap]],Cleaned_Data[Market Cap],0)</f>
        <v>104</v>
      </c>
      <c r="K105" t="str">
        <f t="shared" si="3"/>
        <v>0-0.5</v>
      </c>
    </row>
    <row r="106" spans="1:11" x14ac:dyDescent="0.35">
      <c r="A106" t="s">
        <v>681</v>
      </c>
      <c r="B106" t="s">
        <v>682</v>
      </c>
      <c r="C106">
        <v>7.1599999999999997E-2</v>
      </c>
      <c r="D106">
        <v>4.1000000000000003E-3</v>
      </c>
      <c r="E106">
        <v>14516193</v>
      </c>
      <c r="F106">
        <v>542805</v>
      </c>
      <c r="G106" t="s">
        <v>687</v>
      </c>
      <c r="H106">
        <v>899590000000000</v>
      </c>
      <c r="I106">
        <f>Cleaned_Data[[#This Row],[Volume (24h) USD]]/Cleaned_Data[[#This Row],[Circulating_Supply($)]]</f>
        <v>6.0339154503718361E-10</v>
      </c>
      <c r="J106">
        <f>RANK(Cleaned_Data[[#This Row],[Market Cap]],Cleaned_Data[Market Cap],0)</f>
        <v>105</v>
      </c>
      <c r="K106" t="str">
        <f t="shared" si="3"/>
        <v>0-0.5</v>
      </c>
    </row>
    <row r="107" spans="1:11" x14ac:dyDescent="0.35">
      <c r="A107" t="s">
        <v>688</v>
      </c>
      <c r="B107" t="s">
        <v>689</v>
      </c>
      <c r="C107">
        <v>1.44E-2</v>
      </c>
      <c r="D107">
        <v>1.4E-3</v>
      </c>
      <c r="E107">
        <v>14440722</v>
      </c>
      <c r="F107">
        <v>1406872</v>
      </c>
      <c r="G107" t="s">
        <v>318</v>
      </c>
      <c r="H107">
        <v>999990000</v>
      </c>
      <c r="I107">
        <f>Cleaned_Data[[#This Row],[Volume (24h) USD]]/Cleaned_Data[[#This Row],[Circulating_Supply($)]]</f>
        <v>1.4068860688606886E-3</v>
      </c>
      <c r="J107">
        <f>RANK(Cleaned_Data[[#This Row],[Market Cap]],Cleaned_Data[Market Cap],0)</f>
        <v>106</v>
      </c>
      <c r="K107" t="str">
        <f t="shared" si="3"/>
        <v>0-0.5</v>
      </c>
    </row>
    <row r="108" spans="1:11" x14ac:dyDescent="0.35">
      <c r="A108" t="s">
        <v>693</v>
      </c>
      <c r="B108" t="s">
        <v>694</v>
      </c>
      <c r="C108">
        <v>0.1963</v>
      </c>
      <c r="D108">
        <v>8.0999999999999996E-3</v>
      </c>
      <c r="E108">
        <v>14425837</v>
      </c>
      <c r="F108">
        <v>686075</v>
      </c>
      <c r="G108" t="s">
        <v>699</v>
      </c>
      <c r="H108">
        <v>73460000</v>
      </c>
      <c r="I108">
        <f>Cleaned_Data[[#This Row],[Volume (24h) USD]]/Cleaned_Data[[#This Row],[Circulating_Supply($)]]</f>
        <v>9.3394364279880213E-3</v>
      </c>
      <c r="J108">
        <f>RANK(Cleaned_Data[[#This Row],[Market Cap]],Cleaned_Data[Market Cap],0)</f>
        <v>107</v>
      </c>
      <c r="K108" t="str">
        <f t="shared" si="3"/>
        <v>0-0.5</v>
      </c>
    </row>
    <row r="109" spans="1:11" x14ac:dyDescent="0.35">
      <c r="A109" t="s">
        <v>700</v>
      </c>
      <c r="B109" t="s">
        <v>701</v>
      </c>
      <c r="C109">
        <v>1.4800000000000001E-2</v>
      </c>
      <c r="D109">
        <v>1.1999999999999999E-3</v>
      </c>
      <c r="E109">
        <v>14389863</v>
      </c>
      <c r="F109">
        <v>34241</v>
      </c>
      <c r="G109" t="s">
        <v>705</v>
      </c>
      <c r="H109">
        <v>969990000</v>
      </c>
      <c r="I109">
        <f>Cleaned_Data[[#This Row],[Volume (24h) USD]]/Cleaned_Data[[#This Row],[Circulating_Supply($)]]</f>
        <v>3.5300363921277537E-5</v>
      </c>
      <c r="J109">
        <f>RANK(Cleaned_Data[[#This Row],[Market Cap]],Cleaned_Data[Market Cap],0)</f>
        <v>108</v>
      </c>
      <c r="K109" t="str">
        <f t="shared" si="3"/>
        <v>0-0.5</v>
      </c>
    </row>
    <row r="110" spans="1:11" x14ac:dyDescent="0.35">
      <c r="A110" t="s">
        <v>706</v>
      </c>
      <c r="B110" t="s">
        <v>707</v>
      </c>
      <c r="C110">
        <v>4.2999999999999997E-2</v>
      </c>
      <c r="D110">
        <v>2.8E-3</v>
      </c>
      <c r="E110">
        <v>11345859</v>
      </c>
      <c r="F110">
        <v>810252</v>
      </c>
      <c r="G110" t="s">
        <v>712</v>
      </c>
      <c r="H110">
        <v>263730000.00000003</v>
      </c>
      <c r="I110">
        <f>Cleaned_Data[[#This Row],[Volume (24h) USD]]/Cleaned_Data[[#This Row],[Circulating_Supply($)]]</f>
        <v>3.0722784666135819E-3</v>
      </c>
      <c r="J110">
        <f>RANK(Cleaned_Data[[#This Row],[Market Cap]],Cleaned_Data[Market Cap],0)</f>
        <v>109</v>
      </c>
      <c r="K110" t="str">
        <f t="shared" si="3"/>
        <v>0-0.5</v>
      </c>
    </row>
    <row r="111" spans="1:11" x14ac:dyDescent="0.35">
      <c r="A111" t="s">
        <v>713</v>
      </c>
      <c r="B111" t="s">
        <v>714</v>
      </c>
      <c r="C111">
        <v>1.6899999999999998E-2</v>
      </c>
      <c r="D111">
        <v>1.0999999999999999E-2</v>
      </c>
      <c r="E111">
        <v>11304052</v>
      </c>
      <c r="F111">
        <v>8799764</v>
      </c>
      <c r="G111" t="s">
        <v>719</v>
      </c>
      <c r="H111">
        <v>670180000</v>
      </c>
      <c r="I111">
        <f>Cleaned_Data[[#This Row],[Volume (24h) USD]]/Cleaned_Data[[#This Row],[Circulating_Supply($)]]</f>
        <v>1.3130448536214151E-2</v>
      </c>
      <c r="J111">
        <f>RANK(Cleaned_Data[[#This Row],[Market Cap]],Cleaned_Data[Market Cap],0)</f>
        <v>110</v>
      </c>
      <c r="K111" t="str">
        <f t="shared" si="3"/>
        <v>0-0.5</v>
      </c>
    </row>
    <row r="112" spans="1:11" x14ac:dyDescent="0.35">
      <c r="A112" t="s">
        <v>720</v>
      </c>
      <c r="B112" t="s">
        <v>721</v>
      </c>
      <c r="C112">
        <v>5.6399999999999999E-2</v>
      </c>
      <c r="D112">
        <v>5.0000000000000001E-4</v>
      </c>
      <c r="E112">
        <v>11274163</v>
      </c>
      <c r="F112">
        <v>6405267</v>
      </c>
      <c r="G112" t="s">
        <v>725</v>
      </c>
      <c r="H112">
        <v>200000000</v>
      </c>
      <c r="I112">
        <f>Cleaned_Data[[#This Row],[Volume (24h) USD]]/Cleaned_Data[[#This Row],[Circulating_Supply($)]]</f>
        <v>3.2026335000000003E-2</v>
      </c>
      <c r="J112">
        <f>RANK(Cleaned_Data[[#This Row],[Market Cap]],Cleaned_Data[Market Cap],0)</f>
        <v>111</v>
      </c>
      <c r="K112" t="str">
        <f t="shared" si="3"/>
        <v>0-0.5</v>
      </c>
    </row>
    <row r="113" spans="1:11" x14ac:dyDescent="0.35">
      <c r="A113" t="s">
        <v>726</v>
      </c>
      <c r="B113" t="s">
        <v>727</v>
      </c>
      <c r="C113">
        <v>0.32490000000000002</v>
      </c>
      <c r="D113">
        <v>4.5999999999999999E-3</v>
      </c>
      <c r="E113">
        <v>11243721</v>
      </c>
      <c r="F113">
        <v>25910</v>
      </c>
      <c r="G113" t="s">
        <v>731</v>
      </c>
      <c r="H113">
        <v>34590000</v>
      </c>
      <c r="I113">
        <f>Cleaned_Data[[#This Row],[Volume (24h) USD]]/Cleaned_Data[[#This Row],[Circulating_Supply($)]]</f>
        <v>7.4906042208730842E-4</v>
      </c>
      <c r="J113">
        <f>RANK(Cleaned_Data[[#This Row],[Market Cap]],Cleaned_Data[Market Cap],0)</f>
        <v>112</v>
      </c>
      <c r="K113" t="str">
        <f t="shared" si="3"/>
        <v>0-0.5</v>
      </c>
    </row>
    <row r="114" spans="1:11" x14ac:dyDescent="0.35">
      <c r="A114" t="s">
        <v>732</v>
      </c>
      <c r="B114" t="s">
        <v>733</v>
      </c>
      <c r="C114">
        <v>0.18329999999999999</v>
      </c>
      <c r="D114">
        <v>2.5999999999999999E-2</v>
      </c>
      <c r="E114">
        <v>11181505</v>
      </c>
      <c r="F114">
        <v>95241</v>
      </c>
      <c r="G114" t="s">
        <v>738</v>
      </c>
      <c r="H114">
        <v>60970000</v>
      </c>
      <c r="I114">
        <f>Cleaned_Data[[#This Row],[Volume (24h) USD]]/Cleaned_Data[[#This Row],[Circulating_Supply($)]]</f>
        <v>1.5620961128423815E-3</v>
      </c>
      <c r="J114">
        <f>RANK(Cleaned_Data[[#This Row],[Market Cap]],Cleaned_Data[Market Cap],0)</f>
        <v>114</v>
      </c>
      <c r="K114" t="str">
        <f t="shared" si="3"/>
        <v>0-0.5</v>
      </c>
    </row>
    <row r="115" spans="1:11" x14ac:dyDescent="0.35">
      <c r="A115" t="s">
        <v>739</v>
      </c>
      <c r="B115" t="s">
        <v>739</v>
      </c>
      <c r="C115">
        <v>1.24E-2</v>
      </c>
      <c r="D115">
        <v>1.6400000000000001E-2</v>
      </c>
      <c r="E115">
        <v>11184297</v>
      </c>
      <c r="F115">
        <v>1157910</v>
      </c>
      <c r="G115" t="s">
        <v>744</v>
      </c>
      <c r="H115">
        <v>899840000</v>
      </c>
      <c r="I115">
        <f>Cleaned_Data[[#This Row],[Volume (24h) USD]]/Cleaned_Data[[#This Row],[Circulating_Supply($)]]</f>
        <v>1.2867954302987197E-3</v>
      </c>
      <c r="J115">
        <f>RANK(Cleaned_Data[[#This Row],[Market Cap]],Cleaned_Data[Market Cap],0)</f>
        <v>113</v>
      </c>
      <c r="K115" t="str">
        <f t="shared" si="3"/>
        <v>0-0.5</v>
      </c>
    </row>
    <row r="116" spans="1:11" x14ac:dyDescent="0.35">
      <c r="A116" t="s">
        <v>745</v>
      </c>
      <c r="B116" t="s">
        <v>746</v>
      </c>
      <c r="C116">
        <v>4.1999999999999997E-3</v>
      </c>
      <c r="D116">
        <v>8.6999999999999994E-3</v>
      </c>
      <c r="E116">
        <v>11144288</v>
      </c>
      <c r="F116">
        <v>19472</v>
      </c>
      <c r="G116" t="s">
        <v>751</v>
      </c>
      <c r="H116">
        <v>2620000000</v>
      </c>
      <c r="I116">
        <f>Cleaned_Data[[#This Row],[Volume (24h) USD]]/Cleaned_Data[[#This Row],[Circulating_Supply($)]]</f>
        <v>7.4320610687022905E-6</v>
      </c>
      <c r="J116">
        <f>RANK(Cleaned_Data[[#This Row],[Market Cap]],Cleaned_Data[Market Cap],0)</f>
        <v>116</v>
      </c>
      <c r="K116" t="str">
        <f t="shared" si="3"/>
        <v>0-0.5</v>
      </c>
    </row>
    <row r="117" spans="1:11" x14ac:dyDescent="0.35">
      <c r="A117" t="s">
        <v>752</v>
      </c>
      <c r="B117" t="s">
        <v>753</v>
      </c>
      <c r="C117">
        <v>7.4499999999999997E-2</v>
      </c>
      <c r="D117">
        <v>5.1000000000000004E-3</v>
      </c>
      <c r="E117">
        <v>11155057</v>
      </c>
      <c r="F117">
        <v>233918</v>
      </c>
      <c r="G117" t="s">
        <v>758</v>
      </c>
      <c r="H117">
        <v>247730000000000</v>
      </c>
      <c r="I117">
        <f>Cleaned_Data[[#This Row],[Volume (24h) USD]]/Cleaned_Data[[#This Row],[Circulating_Supply($)]]</f>
        <v>9.4424575142292003E-10</v>
      </c>
      <c r="J117">
        <f>RANK(Cleaned_Data[[#This Row],[Market Cap]],Cleaned_Data[Market Cap],0)</f>
        <v>115</v>
      </c>
      <c r="K117" t="str">
        <f t="shared" si="3"/>
        <v>0-0.5</v>
      </c>
    </row>
    <row r="118" spans="1:11" x14ac:dyDescent="0.35">
      <c r="A118" t="s">
        <v>759</v>
      </c>
      <c r="B118" t="s">
        <v>760</v>
      </c>
      <c r="C118">
        <v>0.21590000000000001</v>
      </c>
      <c r="D118">
        <v>3.8E-3</v>
      </c>
      <c r="E118">
        <v>11101030</v>
      </c>
      <c r="F118">
        <v>105278</v>
      </c>
      <c r="G118" t="s">
        <v>764</v>
      </c>
      <c r="H118">
        <v>51390000</v>
      </c>
      <c r="I118">
        <f>Cleaned_Data[[#This Row],[Volume (24h) USD]]/Cleaned_Data[[#This Row],[Circulating_Supply($)]]</f>
        <v>2.0486086787312708E-3</v>
      </c>
      <c r="J118">
        <f>RANK(Cleaned_Data[[#This Row],[Market Cap]],Cleaned_Data[Market Cap],0)</f>
        <v>117</v>
      </c>
      <c r="K118" t="str">
        <f t="shared" si="3"/>
        <v>0-0.5</v>
      </c>
    </row>
    <row r="119" spans="1:11" x14ac:dyDescent="0.35">
      <c r="A119" t="s">
        <v>765</v>
      </c>
      <c r="B119" t="s">
        <v>766</v>
      </c>
      <c r="C119">
        <v>5.0000000000000001E-4</v>
      </c>
      <c r="D119">
        <v>9.1999999999999998E-3</v>
      </c>
      <c r="E119">
        <v>11082865</v>
      </c>
      <c r="F119">
        <v>8599503</v>
      </c>
      <c r="G119" t="s">
        <v>770</v>
      </c>
      <c r="H119">
        <v>22790000000</v>
      </c>
      <c r="I119">
        <f>Cleaned_Data[[#This Row],[Volume (24h) USD]]/Cleaned_Data[[#This Row],[Circulating_Supply($)]]</f>
        <v>3.7733668275559455E-4</v>
      </c>
      <c r="J119">
        <f>RANK(Cleaned_Data[[#This Row],[Market Cap]],Cleaned_Data[Market Cap],0)</f>
        <v>118</v>
      </c>
      <c r="K119" t="str">
        <f t="shared" si="3"/>
        <v>0-0.5</v>
      </c>
    </row>
    <row r="120" spans="1:11" x14ac:dyDescent="0.35">
      <c r="A120" t="s">
        <v>771</v>
      </c>
      <c r="B120" t="s">
        <v>772</v>
      </c>
      <c r="C120">
        <v>0.99929999999999997</v>
      </c>
      <c r="D120">
        <v>5.0000000000000001E-4</v>
      </c>
      <c r="E120">
        <v>8799631</v>
      </c>
      <c r="F120">
        <v>50214459</v>
      </c>
      <c r="G120" t="s">
        <v>776</v>
      </c>
      <c r="H120">
        <v>8800000</v>
      </c>
      <c r="I120">
        <f>Cleaned_Data[[#This Row],[Volume (24h) USD]]/Cleaned_Data[[#This Row],[Circulating_Supply($)]]</f>
        <v>5.7061885227272731</v>
      </c>
      <c r="J120">
        <f>RANK(Cleaned_Data[[#This Row],[Market Cap]],Cleaned_Data[Market Cap],0)</f>
        <v>119</v>
      </c>
      <c r="K120" t="str">
        <f t="shared" si="3"/>
        <v>0.5-1</v>
      </c>
    </row>
    <row r="121" spans="1:11" x14ac:dyDescent="0.35">
      <c r="A121" t="s">
        <v>777</v>
      </c>
      <c r="B121" t="s">
        <v>778</v>
      </c>
      <c r="C121">
        <v>3.38</v>
      </c>
      <c r="D121">
        <v>8.9999999999999998E-4</v>
      </c>
      <c r="E121">
        <v>8770979</v>
      </c>
      <c r="F121">
        <v>10</v>
      </c>
      <c r="G121" t="s">
        <v>782</v>
      </c>
      <c r="H121">
        <v>2590000</v>
      </c>
      <c r="I121">
        <f>Cleaned_Data[[#This Row],[Volume (24h) USD]]/Cleaned_Data[[#This Row],[Circulating_Supply($)]]</f>
        <v>3.8610038610038611E-6</v>
      </c>
      <c r="J121">
        <f>RANK(Cleaned_Data[[#This Row],[Market Cap]],Cleaned_Data[Market Cap],0)</f>
        <v>120</v>
      </c>
      <c r="K121" t="str">
        <f t="shared" si="3"/>
        <v>2-10</v>
      </c>
    </row>
    <row r="122" spans="1:11" x14ac:dyDescent="0.35">
      <c r="A122" t="s">
        <v>783</v>
      </c>
      <c r="B122" t="s">
        <v>784</v>
      </c>
      <c r="C122">
        <v>0.89400000000000002</v>
      </c>
      <c r="D122">
        <v>3.7000000000000002E-3</v>
      </c>
      <c r="E122">
        <v>8762689</v>
      </c>
      <c r="F122">
        <v>1784357</v>
      </c>
      <c r="G122" t="s">
        <v>788</v>
      </c>
      <c r="H122">
        <v>9800000</v>
      </c>
      <c r="I122">
        <f>Cleaned_Data[[#This Row],[Volume (24h) USD]]/Cleaned_Data[[#This Row],[Circulating_Supply($)]]</f>
        <v>0.18207724489795918</v>
      </c>
      <c r="J122">
        <f>RANK(Cleaned_Data[[#This Row],[Market Cap]],Cleaned_Data[Market Cap],0)</f>
        <v>121</v>
      </c>
      <c r="K122" t="str">
        <f t="shared" si="3"/>
        <v>0.5-1</v>
      </c>
    </row>
    <row r="123" spans="1:11" x14ac:dyDescent="0.35">
      <c r="A123" t="s">
        <v>789</v>
      </c>
      <c r="B123" t="s">
        <v>790</v>
      </c>
      <c r="C123">
        <v>8.8000000000000005E-3</v>
      </c>
      <c r="D123">
        <v>1.1299999999999999E-2</v>
      </c>
      <c r="E123">
        <v>8757334</v>
      </c>
      <c r="F123">
        <v>1018996</v>
      </c>
      <c r="G123" t="s">
        <v>795</v>
      </c>
      <c r="H123">
        <v>990280000</v>
      </c>
      <c r="I123">
        <f>Cleaned_Data[[#This Row],[Volume (24h) USD]]/Cleaned_Data[[#This Row],[Circulating_Supply($)]]</f>
        <v>1.0289978591913398E-3</v>
      </c>
      <c r="J123">
        <f>RANK(Cleaned_Data[[#This Row],[Market Cap]],Cleaned_Data[Market Cap],0)</f>
        <v>122</v>
      </c>
      <c r="K123" t="str">
        <f t="shared" si="3"/>
        <v>0-0.5</v>
      </c>
    </row>
    <row r="124" spans="1:11" x14ac:dyDescent="0.35">
      <c r="A124" t="s">
        <v>796</v>
      </c>
      <c r="B124" t="s">
        <v>797</v>
      </c>
      <c r="C124">
        <v>3.6299999999999999E-2</v>
      </c>
      <c r="D124">
        <v>1.4E-3</v>
      </c>
      <c r="E124">
        <v>8738652</v>
      </c>
      <c r="F124">
        <v>849245</v>
      </c>
      <c r="G124" t="s">
        <v>801</v>
      </c>
      <c r="H124">
        <v>240600000</v>
      </c>
      <c r="I124">
        <f>Cleaned_Data[[#This Row],[Volume (24h) USD]]/Cleaned_Data[[#This Row],[Circulating_Supply($)]]</f>
        <v>3.529696591853699E-3</v>
      </c>
      <c r="J124">
        <f>RANK(Cleaned_Data[[#This Row],[Market Cap]],Cleaned_Data[Market Cap],0)</f>
        <v>123</v>
      </c>
      <c r="K124" t="str">
        <f t="shared" si="3"/>
        <v>0-0.5</v>
      </c>
    </row>
    <row r="125" spans="1:11" x14ac:dyDescent="0.35">
      <c r="A125" t="s">
        <v>802</v>
      </c>
      <c r="B125" t="s">
        <v>803</v>
      </c>
      <c r="C125">
        <v>4.5600000000000002E-2</v>
      </c>
      <c r="D125">
        <v>2.3999999999999998E-3</v>
      </c>
      <c r="E125">
        <v>8732769</v>
      </c>
      <c r="F125">
        <v>31161</v>
      </c>
      <c r="G125" t="s">
        <v>807</v>
      </c>
      <c r="H125">
        <v>191310000</v>
      </c>
      <c r="I125">
        <f>Cleaned_Data[[#This Row],[Volume (24h) USD]]/Cleaned_Data[[#This Row],[Circulating_Supply($)]]</f>
        <v>1.6288223302493335E-4</v>
      </c>
      <c r="J125">
        <f>RANK(Cleaned_Data[[#This Row],[Market Cap]],Cleaned_Data[Market Cap],0)</f>
        <v>124</v>
      </c>
      <c r="K125" t="str">
        <f t="shared" si="3"/>
        <v>0-0.5</v>
      </c>
    </row>
    <row r="126" spans="1:11" x14ac:dyDescent="0.35">
      <c r="A126" t="s">
        <v>808</v>
      </c>
      <c r="B126" t="s">
        <v>809</v>
      </c>
      <c r="C126">
        <v>8.7099999999999997E-2</v>
      </c>
      <c r="D126">
        <v>6.1999999999999998E-3</v>
      </c>
      <c r="E126">
        <v>8712671</v>
      </c>
      <c r="F126">
        <v>260752</v>
      </c>
      <c r="G126" t="s">
        <v>814</v>
      </c>
      <c r="H126">
        <v>99990000</v>
      </c>
      <c r="I126">
        <f>Cleaned_Data[[#This Row],[Volume (24h) USD]]/Cleaned_Data[[#This Row],[Circulating_Supply($)]]</f>
        <v>2.607780778077808E-3</v>
      </c>
      <c r="J126">
        <f>RANK(Cleaned_Data[[#This Row],[Market Cap]],Cleaned_Data[Market Cap],0)</f>
        <v>125</v>
      </c>
      <c r="K126" t="str">
        <f t="shared" si="3"/>
        <v>0-0.5</v>
      </c>
    </row>
    <row r="127" spans="1:11" x14ac:dyDescent="0.35">
      <c r="A127" t="s">
        <v>815</v>
      </c>
      <c r="B127" t="s">
        <v>816</v>
      </c>
      <c r="C127">
        <v>3.95E-2</v>
      </c>
      <c r="D127">
        <v>4.1000000000000003E-3</v>
      </c>
      <c r="E127">
        <v>8699473</v>
      </c>
      <c r="F127">
        <v>7734230</v>
      </c>
      <c r="G127" t="s">
        <v>820</v>
      </c>
      <c r="H127">
        <v>220100000</v>
      </c>
      <c r="I127">
        <f>Cleaned_Data[[#This Row],[Volume (24h) USD]]/Cleaned_Data[[#This Row],[Circulating_Supply($)]]</f>
        <v>3.5139618355293049E-2</v>
      </c>
      <c r="J127">
        <f>RANK(Cleaned_Data[[#This Row],[Market Cap]],Cleaned_Data[Market Cap],0)</f>
        <v>126</v>
      </c>
      <c r="K127" t="str">
        <f t="shared" si="3"/>
        <v>0-0.5</v>
      </c>
    </row>
    <row r="128" spans="1:11" x14ac:dyDescent="0.35">
      <c r="A128" t="s">
        <v>821</v>
      </c>
      <c r="B128" t="s">
        <v>822</v>
      </c>
      <c r="C128">
        <v>9.8699999999999996E-2</v>
      </c>
      <c r="D128">
        <v>4.3E-3</v>
      </c>
      <c r="E128">
        <v>8669853</v>
      </c>
      <c r="F128">
        <v>229548</v>
      </c>
      <c r="G128" t="s">
        <v>826</v>
      </c>
      <c r="H128">
        <v>87820000</v>
      </c>
      <c r="I128">
        <f>Cleaned_Data[[#This Row],[Volume (24h) USD]]/Cleaned_Data[[#This Row],[Circulating_Supply($)]]</f>
        <v>2.6138465042131634E-3</v>
      </c>
      <c r="J128">
        <f>RANK(Cleaned_Data[[#This Row],[Market Cap]],Cleaned_Data[Market Cap],0)</f>
        <v>127</v>
      </c>
      <c r="K128" t="str">
        <f t="shared" si="3"/>
        <v>0-0.5</v>
      </c>
    </row>
    <row r="129" spans="1:11" x14ac:dyDescent="0.35">
      <c r="A129" t="s">
        <v>827</v>
      </c>
      <c r="B129" t="s">
        <v>828</v>
      </c>
      <c r="C129">
        <v>0.29120000000000001</v>
      </c>
      <c r="D129">
        <v>4.3E-3</v>
      </c>
      <c r="E129">
        <v>8662826</v>
      </c>
      <c r="F129">
        <v>65907</v>
      </c>
      <c r="G129" t="s">
        <v>832</v>
      </c>
      <c r="H129">
        <v>29740000</v>
      </c>
      <c r="I129">
        <f>Cleaned_Data[[#This Row],[Volume (24h) USD]]/Cleaned_Data[[#This Row],[Circulating_Supply($)]]</f>
        <v>2.2161062542030933E-3</v>
      </c>
      <c r="J129">
        <f>RANK(Cleaned_Data[[#This Row],[Market Cap]],Cleaned_Data[Market Cap],0)</f>
        <v>128</v>
      </c>
      <c r="K129" t="str">
        <f t="shared" si="3"/>
        <v>0-0.5</v>
      </c>
    </row>
    <row r="130" spans="1:11" x14ac:dyDescent="0.35">
      <c r="A130" t="s">
        <v>842</v>
      </c>
      <c r="B130" t="s">
        <v>843</v>
      </c>
      <c r="C130">
        <v>3.4700000000000002E-2</v>
      </c>
      <c r="D130">
        <v>1.5E-3</v>
      </c>
      <c r="E130">
        <v>6977656</v>
      </c>
      <c r="F130">
        <v>146941</v>
      </c>
      <c r="G130" t="s">
        <v>847</v>
      </c>
      <c r="H130">
        <v>201120000</v>
      </c>
      <c r="I130">
        <f>Cleaned_Data[[#This Row],[Volume (24h) USD]]/Cleaned_Data[[#This Row],[Circulating_Supply($)]]</f>
        <v>7.3061356404136837E-4</v>
      </c>
      <c r="J130">
        <f>RANK(Cleaned_Data[[#This Row],[Market Cap]],Cleaned_Data[Market Cap],0)</f>
        <v>129</v>
      </c>
      <c r="K130" t="str">
        <f t="shared" ref="K130:K161" si="4">IF(C130&lt;=0.5,"0-0.5",
 IF(C130&lt;=1,"0.5-1",
  IF(C130&lt;=2,"1-2",
   IF(C130&lt;=10,"2-10",
    IF(C130&lt;=100,"10-100",
     IF(C130&lt;=10000,"100-10000",
      "10000+"))))))</f>
        <v>0-0.5</v>
      </c>
    </row>
    <row r="131" spans="1:11" x14ac:dyDescent="0.35">
      <c r="A131" t="s">
        <v>848</v>
      </c>
      <c r="B131" t="s">
        <v>849</v>
      </c>
      <c r="C131">
        <v>1.9300000000000001E-2</v>
      </c>
      <c r="D131">
        <v>2.0000000000000001E-4</v>
      </c>
      <c r="E131">
        <v>6955385</v>
      </c>
      <c r="F131">
        <v>6780</v>
      </c>
      <c r="G131" t="s">
        <v>853</v>
      </c>
      <c r="H131">
        <v>359590000</v>
      </c>
      <c r="I131">
        <f>Cleaned_Data[[#This Row],[Volume (24h) USD]]/Cleaned_Data[[#This Row],[Circulating_Supply($)]]</f>
        <v>1.8854806863372173E-5</v>
      </c>
      <c r="J131">
        <f>RANK(Cleaned_Data[[#This Row],[Market Cap]],Cleaned_Data[Market Cap],0)</f>
        <v>130</v>
      </c>
      <c r="K131" t="str">
        <f t="shared" si="4"/>
        <v>0-0.5</v>
      </c>
    </row>
    <row r="132" spans="1:11" x14ac:dyDescent="0.35">
      <c r="A132" t="s">
        <v>859</v>
      </c>
      <c r="B132" t="s">
        <v>860</v>
      </c>
      <c r="C132">
        <v>1.38</v>
      </c>
      <c r="D132">
        <v>2.8500000000000001E-2</v>
      </c>
      <c r="E132">
        <v>6916559</v>
      </c>
      <c r="F132">
        <v>425962</v>
      </c>
      <c r="G132" t="s">
        <v>865</v>
      </c>
      <c r="H132">
        <v>4990000</v>
      </c>
      <c r="I132">
        <f>Cleaned_Data[[#This Row],[Volume (24h) USD]]/Cleaned_Data[[#This Row],[Circulating_Supply($)]]</f>
        <v>8.5363126252505014E-2</v>
      </c>
      <c r="J132">
        <f>RANK(Cleaned_Data[[#This Row],[Market Cap]],Cleaned_Data[Market Cap],0)</f>
        <v>131</v>
      </c>
      <c r="K132" t="str">
        <f t="shared" si="4"/>
        <v>1-2</v>
      </c>
    </row>
    <row r="133" spans="1:11" x14ac:dyDescent="0.35">
      <c r="A133" t="s">
        <v>866</v>
      </c>
      <c r="B133" t="s">
        <v>867</v>
      </c>
      <c r="C133">
        <v>2.9999999999999997E-4</v>
      </c>
      <c r="D133">
        <v>5.9999999999999995E-4</v>
      </c>
      <c r="E133">
        <v>6910668</v>
      </c>
      <c r="F133">
        <v>87808</v>
      </c>
      <c r="G133" t="s">
        <v>871</v>
      </c>
      <c r="H133">
        <v>23060000000</v>
      </c>
      <c r="I133">
        <f>Cleaned_Data[[#This Row],[Volume (24h) USD]]/Cleaned_Data[[#This Row],[Circulating_Supply($)]]</f>
        <v>3.8078057241977451E-6</v>
      </c>
      <c r="J133">
        <f>RANK(Cleaned_Data[[#This Row],[Market Cap]],Cleaned_Data[Market Cap],0)</f>
        <v>132</v>
      </c>
      <c r="K133" t="str">
        <f t="shared" si="4"/>
        <v>0-0.5</v>
      </c>
    </row>
    <row r="134" spans="1:11" x14ac:dyDescent="0.35">
      <c r="A134" t="s">
        <v>872</v>
      </c>
      <c r="B134" t="s">
        <v>873</v>
      </c>
      <c r="C134">
        <v>1E-3</v>
      </c>
      <c r="D134">
        <v>3.8E-3</v>
      </c>
      <c r="E134">
        <v>6901123</v>
      </c>
      <c r="F134">
        <v>187469</v>
      </c>
      <c r="G134" t="s">
        <v>877</v>
      </c>
      <c r="H134">
        <v>6930000000</v>
      </c>
      <c r="I134">
        <f>Cleaned_Data[[#This Row],[Volume (24h) USD]]/Cleaned_Data[[#This Row],[Circulating_Supply($)]]</f>
        <v>2.7051803751803753E-5</v>
      </c>
      <c r="J134">
        <f>RANK(Cleaned_Data[[#This Row],[Market Cap]],Cleaned_Data[Market Cap],0)</f>
        <v>133</v>
      </c>
      <c r="K134" t="str">
        <f t="shared" si="4"/>
        <v>0-0.5</v>
      </c>
    </row>
    <row r="135" spans="1:11" x14ac:dyDescent="0.35">
      <c r="A135" t="s">
        <v>878</v>
      </c>
      <c r="B135" t="s">
        <v>878</v>
      </c>
      <c r="C135">
        <v>0.13519999999999999</v>
      </c>
      <c r="D135">
        <v>1.8E-3</v>
      </c>
      <c r="E135">
        <v>6897513</v>
      </c>
      <c r="F135">
        <v>340331</v>
      </c>
      <c r="G135" t="s">
        <v>883</v>
      </c>
      <c r="H135">
        <v>50990000</v>
      </c>
      <c r="I135">
        <f>Cleaned_Data[[#This Row],[Volume (24h) USD]]/Cleaned_Data[[#This Row],[Circulating_Supply($)]]</f>
        <v>6.6744655814865656E-3</v>
      </c>
      <c r="J135">
        <f>RANK(Cleaned_Data[[#This Row],[Market Cap]],Cleaned_Data[Market Cap],0)</f>
        <v>134</v>
      </c>
      <c r="K135" t="str">
        <f t="shared" si="4"/>
        <v>0-0.5</v>
      </c>
    </row>
    <row r="136" spans="1:11" x14ac:dyDescent="0.35">
      <c r="A136" t="s">
        <v>884</v>
      </c>
      <c r="B136" t="s">
        <v>885</v>
      </c>
      <c r="C136">
        <v>4.8999999999999998E-3</v>
      </c>
      <c r="D136">
        <v>1.1999999999999999E-3</v>
      </c>
      <c r="E136">
        <v>6894766</v>
      </c>
      <c r="F136">
        <v>321408</v>
      </c>
      <c r="G136" t="s">
        <v>889</v>
      </c>
      <c r="H136">
        <v>1400000000</v>
      </c>
      <c r="I136">
        <f>Cleaned_Data[[#This Row],[Volume (24h) USD]]/Cleaned_Data[[#This Row],[Circulating_Supply($)]]</f>
        <v>2.2957714285714285E-4</v>
      </c>
      <c r="J136">
        <f>RANK(Cleaned_Data[[#This Row],[Market Cap]],Cleaned_Data[Market Cap],0)</f>
        <v>135</v>
      </c>
      <c r="K136" t="str">
        <f t="shared" si="4"/>
        <v>0-0.5</v>
      </c>
    </row>
    <row r="137" spans="1:11" x14ac:dyDescent="0.35">
      <c r="A137" t="s">
        <v>890</v>
      </c>
      <c r="B137" t="s">
        <v>891</v>
      </c>
      <c r="C137">
        <v>6.0499999999999998E-2</v>
      </c>
      <c r="D137">
        <v>1.5900000000000001E-2</v>
      </c>
      <c r="E137">
        <v>5328756</v>
      </c>
      <c r="F137">
        <v>4164781</v>
      </c>
      <c r="G137" t="s">
        <v>895</v>
      </c>
      <c r="H137">
        <v>88030000</v>
      </c>
      <c r="I137">
        <f>Cleaned_Data[[#This Row],[Volume (24h) USD]]/Cleaned_Data[[#This Row],[Circulating_Supply($)]]</f>
        <v>4.7310928092695673E-2</v>
      </c>
      <c r="J137">
        <f>RANK(Cleaned_Data[[#This Row],[Market Cap]],Cleaned_Data[Market Cap],0)</f>
        <v>136</v>
      </c>
      <c r="K137" t="str">
        <f t="shared" si="4"/>
        <v>0-0.5</v>
      </c>
    </row>
    <row r="138" spans="1:11" x14ac:dyDescent="0.35">
      <c r="A138" t="s">
        <v>896</v>
      </c>
      <c r="B138" t="s">
        <v>897</v>
      </c>
      <c r="C138">
        <v>0.26100000000000001</v>
      </c>
      <c r="D138">
        <v>1.1000000000000001E-3</v>
      </c>
      <c r="E138">
        <v>5322203</v>
      </c>
      <c r="F138">
        <v>3754649</v>
      </c>
      <c r="G138" t="s">
        <v>901</v>
      </c>
      <c r="H138">
        <v>20380000</v>
      </c>
      <c r="I138">
        <f>Cleaned_Data[[#This Row],[Volume (24h) USD]]/Cleaned_Data[[#This Row],[Circulating_Supply($)]]</f>
        <v>0.18423204121687931</v>
      </c>
      <c r="J138">
        <f>RANK(Cleaned_Data[[#This Row],[Market Cap]],Cleaned_Data[Market Cap],0)</f>
        <v>137</v>
      </c>
      <c r="K138" t="str">
        <f t="shared" si="4"/>
        <v>0-0.5</v>
      </c>
    </row>
    <row r="139" spans="1:11" x14ac:dyDescent="0.35">
      <c r="A139" t="s">
        <v>902</v>
      </c>
      <c r="B139" t="s">
        <v>903</v>
      </c>
      <c r="C139">
        <v>5.8999999999999999E-3</v>
      </c>
      <c r="D139">
        <v>1.1000000000000001E-3</v>
      </c>
      <c r="E139">
        <v>5321075</v>
      </c>
      <c r="F139">
        <v>59834</v>
      </c>
      <c r="G139" t="s">
        <v>907</v>
      </c>
      <c r="H139">
        <v>905300000</v>
      </c>
      <c r="I139">
        <f>Cleaned_Data[[#This Row],[Volume (24h) USD]]/Cleaned_Data[[#This Row],[Circulating_Supply($)]]</f>
        <v>6.6093007842704072E-5</v>
      </c>
      <c r="J139">
        <f>RANK(Cleaned_Data[[#This Row],[Market Cap]],Cleaned_Data[Market Cap],0)</f>
        <v>138</v>
      </c>
      <c r="K139" t="str">
        <f t="shared" si="4"/>
        <v>0-0.5</v>
      </c>
    </row>
    <row r="140" spans="1:11" x14ac:dyDescent="0.35">
      <c r="A140" t="s">
        <v>908</v>
      </c>
      <c r="B140" t="s">
        <v>909</v>
      </c>
      <c r="C140">
        <v>1.12E-2</v>
      </c>
      <c r="D140">
        <v>2.9399999999999999E-2</v>
      </c>
      <c r="E140">
        <v>5289262</v>
      </c>
      <c r="F140">
        <v>30255</v>
      </c>
      <c r="G140" t="s">
        <v>914</v>
      </c>
      <c r="H140">
        <v>471000000</v>
      </c>
      <c r="I140">
        <f>Cleaned_Data[[#This Row],[Volume (24h) USD]]/Cleaned_Data[[#This Row],[Circulating_Supply($)]]</f>
        <v>6.4235668789808917E-5</v>
      </c>
      <c r="J140">
        <f>RANK(Cleaned_Data[[#This Row],[Market Cap]],Cleaned_Data[Market Cap],0)</f>
        <v>139</v>
      </c>
      <c r="K140" t="str">
        <f t="shared" si="4"/>
        <v>0-0.5</v>
      </c>
    </row>
    <row r="141" spans="1:11" x14ac:dyDescent="0.35">
      <c r="A141" t="s">
        <v>915</v>
      </c>
      <c r="B141" t="s">
        <v>916</v>
      </c>
      <c r="C141">
        <v>5.79E-2</v>
      </c>
      <c r="D141">
        <v>8.9999999999999998E-4</v>
      </c>
      <c r="E141">
        <v>5279826</v>
      </c>
      <c r="F141">
        <v>1013267</v>
      </c>
      <c r="G141" t="s">
        <v>920</v>
      </c>
      <c r="H141">
        <v>91220000</v>
      </c>
      <c r="I141">
        <f>Cleaned_Data[[#This Row],[Volume (24h) USD]]/Cleaned_Data[[#This Row],[Circulating_Supply($)]]</f>
        <v>1.1107947818460863E-2</v>
      </c>
      <c r="J141">
        <f>RANK(Cleaned_Data[[#This Row],[Market Cap]],Cleaned_Data[Market Cap],0)</f>
        <v>140</v>
      </c>
      <c r="K141" t="str">
        <f t="shared" si="4"/>
        <v>0-0.5</v>
      </c>
    </row>
    <row r="142" spans="1:11" x14ac:dyDescent="0.35">
      <c r="A142" t="s">
        <v>921</v>
      </c>
      <c r="B142" t="s">
        <v>921</v>
      </c>
      <c r="C142">
        <v>6.9500000000000006E-2</v>
      </c>
      <c r="D142">
        <v>3.2000000000000002E-3</v>
      </c>
      <c r="E142">
        <v>5273359</v>
      </c>
      <c r="F142">
        <v>846710</v>
      </c>
      <c r="G142" t="s">
        <v>925</v>
      </c>
      <c r="H142">
        <v>75910000</v>
      </c>
      <c r="I142">
        <f>Cleaned_Data[[#This Row],[Volume (24h) USD]]/Cleaned_Data[[#This Row],[Circulating_Supply($)]]</f>
        <v>1.1154129890659992E-2</v>
      </c>
      <c r="J142">
        <f>RANK(Cleaned_Data[[#This Row],[Market Cap]],Cleaned_Data[Market Cap],0)</f>
        <v>141</v>
      </c>
      <c r="K142" t="str">
        <f t="shared" si="4"/>
        <v>0-0.5</v>
      </c>
    </row>
    <row r="143" spans="1:11" x14ac:dyDescent="0.35">
      <c r="A143" t="s">
        <v>926</v>
      </c>
      <c r="B143" t="s">
        <v>927</v>
      </c>
      <c r="C143">
        <v>9.06</v>
      </c>
      <c r="D143">
        <v>1.1900000000000001E-2</v>
      </c>
      <c r="E143">
        <v>5254151</v>
      </c>
      <c r="F143">
        <v>27503</v>
      </c>
      <c r="G143" t="s">
        <v>931</v>
      </c>
      <c r="H143">
        <v>579840</v>
      </c>
      <c r="I143">
        <f>Cleaned_Data[[#This Row],[Volume (24h) USD]]/Cleaned_Data[[#This Row],[Circulating_Supply($)]]</f>
        <v>4.7432050220750553E-2</v>
      </c>
      <c r="J143">
        <f>RANK(Cleaned_Data[[#This Row],[Market Cap]],Cleaned_Data[Market Cap],0)</f>
        <v>142</v>
      </c>
      <c r="K143" t="str">
        <f t="shared" si="4"/>
        <v>2-10</v>
      </c>
    </row>
    <row r="144" spans="1:11" x14ac:dyDescent="0.35">
      <c r="A144" t="s">
        <v>932</v>
      </c>
      <c r="B144" t="s">
        <v>933</v>
      </c>
      <c r="C144">
        <v>0.30370000000000003</v>
      </c>
      <c r="D144">
        <v>1.1900000000000001E-2</v>
      </c>
      <c r="E144">
        <v>5249160</v>
      </c>
      <c r="F144">
        <v>64548</v>
      </c>
      <c r="G144" t="s">
        <v>937</v>
      </c>
      <c r="H144">
        <v>17270000</v>
      </c>
      <c r="I144">
        <f>Cleaned_Data[[#This Row],[Volume (24h) USD]]/Cleaned_Data[[#This Row],[Circulating_Supply($)]]</f>
        <v>3.7375796178343947E-3</v>
      </c>
      <c r="J144">
        <f>RANK(Cleaned_Data[[#This Row],[Market Cap]],Cleaned_Data[Market Cap],0)</f>
        <v>143</v>
      </c>
      <c r="K144" t="str">
        <f t="shared" si="4"/>
        <v>0-0.5</v>
      </c>
    </row>
    <row r="145" spans="1:11" x14ac:dyDescent="0.35">
      <c r="A145" t="s">
        <v>938</v>
      </c>
      <c r="B145" t="s">
        <v>939</v>
      </c>
      <c r="C145">
        <v>5.1999999999999998E-3</v>
      </c>
      <c r="D145">
        <v>9.1000000000000004E-3</v>
      </c>
      <c r="E145">
        <v>5236511</v>
      </c>
      <c r="F145">
        <v>2582102</v>
      </c>
      <c r="G145" t="s">
        <v>944</v>
      </c>
      <c r="H145">
        <v>999680000</v>
      </c>
      <c r="I145">
        <f>Cleaned_Data[[#This Row],[Volume (24h) USD]]/Cleaned_Data[[#This Row],[Circulating_Supply($)]]</f>
        <v>2.5829285371318823E-3</v>
      </c>
      <c r="J145">
        <f>RANK(Cleaned_Data[[#This Row],[Market Cap]],Cleaned_Data[Market Cap],0)</f>
        <v>144</v>
      </c>
      <c r="K145" t="str">
        <f t="shared" si="4"/>
        <v>0-0.5</v>
      </c>
    </row>
    <row r="146" spans="1:11" x14ac:dyDescent="0.35">
      <c r="A146" t="s">
        <v>945</v>
      </c>
      <c r="B146" t="s">
        <v>946</v>
      </c>
      <c r="C146">
        <v>2.4400000000000002E-2</v>
      </c>
      <c r="D146">
        <v>2.9999999999999997E-4</v>
      </c>
      <c r="E146">
        <v>5209385</v>
      </c>
      <c r="F146">
        <v>289972</v>
      </c>
      <c r="G146" t="s">
        <v>950</v>
      </c>
      <c r="H146">
        <v>213090000</v>
      </c>
      <c r="I146">
        <f>Cleaned_Data[[#This Row],[Volume (24h) USD]]/Cleaned_Data[[#This Row],[Circulating_Supply($)]]</f>
        <v>1.3607959078323713E-3</v>
      </c>
      <c r="J146">
        <f>RANK(Cleaned_Data[[#This Row],[Market Cap]],Cleaned_Data[Market Cap],0)</f>
        <v>145</v>
      </c>
      <c r="K146" t="str">
        <f t="shared" si="4"/>
        <v>0-0.5</v>
      </c>
    </row>
    <row r="147" spans="1:11" x14ac:dyDescent="0.35">
      <c r="A147" t="s">
        <v>951</v>
      </c>
      <c r="B147" t="s">
        <v>952</v>
      </c>
      <c r="C147">
        <v>8.4400000000000003E-2</v>
      </c>
      <c r="D147">
        <v>1.3299999999999999E-2</v>
      </c>
      <c r="E147">
        <v>4203318</v>
      </c>
      <c r="F147">
        <v>369327</v>
      </c>
      <c r="G147" t="s">
        <v>957</v>
      </c>
      <c r="H147">
        <v>960420000000000</v>
      </c>
      <c r="I147">
        <f>Cleaned_Data[[#This Row],[Volume (24h) USD]]/Cleaned_Data[[#This Row],[Circulating_Supply($)]]</f>
        <v>3.8454738551883551E-10</v>
      </c>
      <c r="J147">
        <f>RANK(Cleaned_Data[[#This Row],[Market Cap]],Cleaned_Data[Market Cap],0)</f>
        <v>146</v>
      </c>
      <c r="K147" t="str">
        <f t="shared" si="4"/>
        <v>0-0.5</v>
      </c>
    </row>
    <row r="148" spans="1:11" x14ac:dyDescent="0.35">
      <c r="A148" t="s">
        <v>968</v>
      </c>
      <c r="B148" t="s">
        <v>969</v>
      </c>
      <c r="C148">
        <v>6.9999999999999999E-4</v>
      </c>
      <c r="D148">
        <v>3.6900000000000002E-2</v>
      </c>
      <c r="E148">
        <v>4174785</v>
      </c>
      <c r="F148">
        <v>10230683</v>
      </c>
      <c r="G148" t="s">
        <v>974</v>
      </c>
      <c r="H148">
        <v>6000000000</v>
      </c>
      <c r="I148">
        <f>Cleaned_Data[[#This Row],[Volume (24h) USD]]/Cleaned_Data[[#This Row],[Circulating_Supply($)]]</f>
        <v>1.7051138333333334E-3</v>
      </c>
      <c r="J148">
        <f>RANK(Cleaned_Data[[#This Row],[Market Cap]],Cleaned_Data[Market Cap],0)</f>
        <v>147</v>
      </c>
      <c r="K148" t="str">
        <f t="shared" si="4"/>
        <v>0-0.5</v>
      </c>
    </row>
    <row r="149" spans="1:11" x14ac:dyDescent="0.35">
      <c r="A149" t="s">
        <v>975</v>
      </c>
      <c r="B149" t="s">
        <v>976</v>
      </c>
      <c r="C149">
        <v>2.76E-2</v>
      </c>
      <c r="D149">
        <v>1E-3</v>
      </c>
      <c r="E149">
        <v>4163952</v>
      </c>
      <c r="F149">
        <v>96917</v>
      </c>
      <c r="G149" t="s">
        <v>980</v>
      </c>
      <c r="H149">
        <v>150750000</v>
      </c>
      <c r="I149">
        <f>Cleaned_Data[[#This Row],[Volume (24h) USD]]/Cleaned_Data[[#This Row],[Circulating_Supply($)]]</f>
        <v>6.4289883913764515E-4</v>
      </c>
      <c r="J149">
        <f>RANK(Cleaned_Data[[#This Row],[Market Cap]],Cleaned_Data[Market Cap],0)</f>
        <v>148</v>
      </c>
      <c r="K149" t="str">
        <f t="shared" si="4"/>
        <v>0-0.5</v>
      </c>
    </row>
    <row r="150" spans="1:11" x14ac:dyDescent="0.35">
      <c r="A150" t="s">
        <v>981</v>
      </c>
      <c r="B150" t="s">
        <v>982</v>
      </c>
      <c r="C150">
        <v>3.8999999999999998E-3</v>
      </c>
      <c r="D150">
        <v>2.2000000000000001E-3</v>
      </c>
      <c r="E150">
        <v>4148747</v>
      </c>
      <c r="F150">
        <v>8766</v>
      </c>
      <c r="G150" t="s">
        <v>986</v>
      </c>
      <c r="H150">
        <v>1050000000</v>
      </c>
      <c r="I150">
        <f>Cleaned_Data[[#This Row],[Volume (24h) USD]]/Cleaned_Data[[#This Row],[Circulating_Supply($)]]</f>
        <v>8.348571428571428E-6</v>
      </c>
      <c r="J150">
        <f>RANK(Cleaned_Data[[#This Row],[Market Cap]],Cleaned_Data[Market Cap],0)</f>
        <v>149</v>
      </c>
      <c r="K150" t="str">
        <f t="shared" si="4"/>
        <v>0-0.5</v>
      </c>
    </row>
    <row r="151" spans="1:11" x14ac:dyDescent="0.35">
      <c r="A151" t="s">
        <v>991</v>
      </c>
      <c r="B151" t="s">
        <v>992</v>
      </c>
      <c r="C151">
        <v>0.20660000000000001</v>
      </c>
      <c r="D151">
        <v>9.7999999999999997E-3</v>
      </c>
      <c r="E151">
        <v>4140168</v>
      </c>
      <c r="F151">
        <v>106213</v>
      </c>
      <c r="G151" t="s">
        <v>997</v>
      </c>
      <c r="H151">
        <v>20030000</v>
      </c>
      <c r="I151">
        <f>Cleaned_Data[[#This Row],[Volume (24h) USD]]/Cleaned_Data[[#This Row],[Circulating_Supply($)]]</f>
        <v>5.3026959560659014E-3</v>
      </c>
      <c r="J151">
        <f>RANK(Cleaned_Data[[#This Row],[Market Cap]],Cleaned_Data[Market Cap],0)</f>
        <v>150</v>
      </c>
      <c r="K151" t="str">
        <f t="shared" si="4"/>
        <v>0-0.5</v>
      </c>
    </row>
    <row r="152" spans="1:11" x14ac:dyDescent="0.35">
      <c r="A152" t="s">
        <v>998</v>
      </c>
      <c r="B152" t="s">
        <v>999</v>
      </c>
      <c r="C152">
        <v>8.9999999999999998E-4</v>
      </c>
      <c r="D152">
        <v>2.9999999999999997E-4</v>
      </c>
      <c r="E152">
        <v>4138839</v>
      </c>
      <c r="F152">
        <v>847</v>
      </c>
      <c r="G152" t="s">
        <v>1003</v>
      </c>
      <c r="H152">
        <v>4370000000</v>
      </c>
      <c r="I152">
        <f>Cleaned_Data[[#This Row],[Volume (24h) USD]]/Cleaned_Data[[#This Row],[Circulating_Supply($)]]</f>
        <v>1.9382151029748284E-7</v>
      </c>
      <c r="J152">
        <f>RANK(Cleaned_Data[[#This Row],[Market Cap]],Cleaned_Data[Market Cap],0)</f>
        <v>151</v>
      </c>
      <c r="K152" t="str">
        <f t="shared" si="4"/>
        <v>0-0.5</v>
      </c>
    </row>
    <row r="153" spans="1:11" x14ac:dyDescent="0.35">
      <c r="A153" t="s">
        <v>1004</v>
      </c>
      <c r="B153" t="s">
        <v>1005</v>
      </c>
      <c r="C153">
        <v>8.0000000000000004E-4</v>
      </c>
      <c r="D153">
        <v>6.8999999999999999E-3</v>
      </c>
      <c r="E153">
        <v>4130541</v>
      </c>
      <c r="F153">
        <v>355240</v>
      </c>
      <c r="G153" t="s">
        <v>1010</v>
      </c>
      <c r="H153">
        <v>5000000000</v>
      </c>
      <c r="I153">
        <f>Cleaned_Data[[#This Row],[Volume (24h) USD]]/Cleaned_Data[[#This Row],[Circulating_Supply($)]]</f>
        <v>7.1048000000000001E-5</v>
      </c>
      <c r="J153">
        <f>RANK(Cleaned_Data[[#This Row],[Market Cap]],Cleaned_Data[Market Cap],0)</f>
        <v>152</v>
      </c>
      <c r="K153" t="str">
        <f t="shared" si="4"/>
        <v>0-0.5</v>
      </c>
    </row>
    <row r="154" spans="1:11" x14ac:dyDescent="0.35">
      <c r="A154" t="s">
        <v>1015</v>
      </c>
      <c r="B154" t="s">
        <v>1016</v>
      </c>
      <c r="C154">
        <v>0.16200000000000001</v>
      </c>
      <c r="D154">
        <v>2.7000000000000001E-3</v>
      </c>
      <c r="E154">
        <v>3346569</v>
      </c>
      <c r="F154">
        <v>331094</v>
      </c>
      <c r="G154" t="s">
        <v>1021</v>
      </c>
      <c r="H154">
        <v>20640000</v>
      </c>
      <c r="I154">
        <f>Cleaned_Data[[#This Row],[Volume (24h) USD]]/Cleaned_Data[[#This Row],[Circulating_Supply($)]]</f>
        <v>1.6041375968992248E-2</v>
      </c>
      <c r="J154">
        <f>RANK(Cleaned_Data[[#This Row],[Market Cap]],Cleaned_Data[Market Cap],0)</f>
        <v>153</v>
      </c>
      <c r="K154" t="str">
        <f t="shared" si="4"/>
        <v>0-0.5</v>
      </c>
    </row>
    <row r="155" spans="1:11" x14ac:dyDescent="0.35">
      <c r="A155" t="s">
        <v>1022</v>
      </c>
      <c r="B155" t="s">
        <v>1023</v>
      </c>
      <c r="C155">
        <v>1.1999999999999999E-3</v>
      </c>
      <c r="D155">
        <v>5.4000000000000003E-3</v>
      </c>
      <c r="E155">
        <v>3339357</v>
      </c>
      <c r="F155">
        <v>18420</v>
      </c>
      <c r="G155" t="s">
        <v>1028</v>
      </c>
      <c r="H155">
        <v>2690000000</v>
      </c>
      <c r="I155">
        <f>Cleaned_Data[[#This Row],[Volume (24h) USD]]/Cleaned_Data[[#This Row],[Circulating_Supply($)]]</f>
        <v>6.847583643122677E-6</v>
      </c>
      <c r="J155">
        <f>RANK(Cleaned_Data[[#This Row],[Market Cap]],Cleaned_Data[Market Cap],0)</f>
        <v>154</v>
      </c>
      <c r="K155" t="str">
        <f t="shared" si="4"/>
        <v>0-0.5</v>
      </c>
    </row>
    <row r="156" spans="1:11" x14ac:dyDescent="0.35">
      <c r="A156" t="s">
        <v>1029</v>
      </c>
      <c r="B156" t="s">
        <v>1029</v>
      </c>
      <c r="C156">
        <v>4.0000000000000002E-4</v>
      </c>
      <c r="D156">
        <v>9.5999999999999992E-3</v>
      </c>
      <c r="E156">
        <v>3333341</v>
      </c>
      <c r="F156">
        <v>1613699</v>
      </c>
      <c r="G156" t="s">
        <v>1034</v>
      </c>
      <c r="H156">
        <v>8289999999.999999</v>
      </c>
      <c r="I156">
        <f>Cleaned_Data[[#This Row],[Volume (24h) USD]]/Cleaned_Data[[#This Row],[Circulating_Supply($)]]</f>
        <v>1.9465609167671895E-4</v>
      </c>
      <c r="J156">
        <f>RANK(Cleaned_Data[[#This Row],[Market Cap]],Cleaned_Data[Market Cap],0)</f>
        <v>155</v>
      </c>
      <c r="K156" t="str">
        <f t="shared" si="4"/>
        <v>0-0.5</v>
      </c>
    </row>
    <row r="157" spans="1:11" x14ac:dyDescent="0.35">
      <c r="A157" t="s">
        <v>1035</v>
      </c>
      <c r="B157" t="s">
        <v>1036</v>
      </c>
      <c r="C157">
        <v>5.3999999999999999E-2</v>
      </c>
      <c r="D157">
        <v>1.6000000000000001E-3</v>
      </c>
      <c r="E157">
        <v>3321989</v>
      </c>
      <c r="F157">
        <v>875780</v>
      </c>
      <c r="G157" t="s">
        <v>1040</v>
      </c>
      <c r="H157">
        <v>61460000</v>
      </c>
      <c r="I157">
        <f>Cleaned_Data[[#This Row],[Volume (24h) USD]]/Cleaned_Data[[#This Row],[Circulating_Supply($)]]</f>
        <v>1.4249593231369997E-2</v>
      </c>
      <c r="J157">
        <f>RANK(Cleaned_Data[[#This Row],[Market Cap]],Cleaned_Data[Market Cap],0)</f>
        <v>156</v>
      </c>
      <c r="K157" t="str">
        <f t="shared" si="4"/>
        <v>0-0.5</v>
      </c>
    </row>
    <row r="158" spans="1:11" x14ac:dyDescent="0.35">
      <c r="A158" t="s">
        <v>1041</v>
      </c>
      <c r="B158" t="s">
        <v>1042</v>
      </c>
      <c r="C158">
        <v>1.32E-2</v>
      </c>
      <c r="D158">
        <v>1.12E-2</v>
      </c>
      <c r="E158">
        <v>3318891</v>
      </c>
      <c r="F158">
        <v>2394175</v>
      </c>
      <c r="G158" t="s">
        <v>1047</v>
      </c>
      <c r="H158">
        <v>251340000</v>
      </c>
      <c r="I158">
        <f>Cleaned_Data[[#This Row],[Volume (24h) USD]]/Cleaned_Data[[#This Row],[Circulating_Supply($)]]</f>
        <v>9.5256425559003734E-3</v>
      </c>
      <c r="J158">
        <f>RANK(Cleaned_Data[[#This Row],[Market Cap]],Cleaned_Data[Market Cap],0)</f>
        <v>157</v>
      </c>
      <c r="K158" t="str">
        <f t="shared" si="4"/>
        <v>0-0.5</v>
      </c>
    </row>
    <row r="159" spans="1:11" x14ac:dyDescent="0.35">
      <c r="A159" t="s">
        <v>1048</v>
      </c>
      <c r="B159" t="s">
        <v>1049</v>
      </c>
      <c r="C159">
        <v>4.1999999999999997E-3</v>
      </c>
      <c r="D159">
        <v>2.9999999999999997E-4</v>
      </c>
      <c r="E159">
        <v>3316153</v>
      </c>
      <c r="F159">
        <v>95553</v>
      </c>
      <c r="G159" t="s">
        <v>1053</v>
      </c>
      <c r="H159">
        <v>787400000</v>
      </c>
      <c r="I159">
        <f>Cleaned_Data[[#This Row],[Volume (24h) USD]]/Cleaned_Data[[#This Row],[Circulating_Supply($)]]</f>
        <v>1.2135255270510541E-4</v>
      </c>
      <c r="J159">
        <f>RANK(Cleaned_Data[[#This Row],[Market Cap]],Cleaned_Data[Market Cap],0)</f>
        <v>158</v>
      </c>
      <c r="K159" t="str">
        <f t="shared" si="4"/>
        <v>0-0.5</v>
      </c>
    </row>
    <row r="160" spans="1:11" x14ac:dyDescent="0.35">
      <c r="A160" t="s">
        <v>1054</v>
      </c>
      <c r="B160" t="s">
        <v>1055</v>
      </c>
      <c r="C160">
        <v>3.6499999999999998E-2</v>
      </c>
      <c r="D160">
        <v>2.8999999999999998E-3</v>
      </c>
      <c r="E160">
        <v>3296073</v>
      </c>
      <c r="F160">
        <v>1991360</v>
      </c>
      <c r="G160" t="s">
        <v>1060</v>
      </c>
      <c r="H160">
        <v>90230000</v>
      </c>
      <c r="I160">
        <f>Cleaned_Data[[#This Row],[Volume (24h) USD]]/Cleaned_Data[[#This Row],[Circulating_Supply($)]]</f>
        <v>2.2069821567106285E-2</v>
      </c>
      <c r="J160">
        <f>RANK(Cleaned_Data[[#This Row],[Market Cap]],Cleaned_Data[Market Cap],0)</f>
        <v>159</v>
      </c>
      <c r="K160" t="str">
        <f t="shared" si="4"/>
        <v>0-0.5</v>
      </c>
    </row>
    <row r="161" spans="1:11" x14ac:dyDescent="0.35">
      <c r="A161" t="s">
        <v>1061</v>
      </c>
      <c r="B161" t="s">
        <v>1062</v>
      </c>
      <c r="C161">
        <v>2.9999999999999997E-4</v>
      </c>
      <c r="D161">
        <v>0</v>
      </c>
      <c r="E161">
        <v>3290369</v>
      </c>
      <c r="F161">
        <v>19915</v>
      </c>
      <c r="G161" t="s">
        <v>1066</v>
      </c>
      <c r="H161">
        <v>10000000000</v>
      </c>
      <c r="I161">
        <f>Cleaned_Data[[#This Row],[Volume (24h) USD]]/Cleaned_Data[[#This Row],[Circulating_Supply($)]]</f>
        <v>1.9914999999999999E-6</v>
      </c>
      <c r="J161">
        <f>RANK(Cleaned_Data[[#This Row],[Market Cap]],Cleaned_Data[Market Cap],0)</f>
        <v>160</v>
      </c>
      <c r="K161" t="str">
        <f t="shared" si="4"/>
        <v>0-0.5</v>
      </c>
    </row>
    <row r="162" spans="1:11" x14ac:dyDescent="0.35">
      <c r="A162" t="s">
        <v>1067</v>
      </c>
      <c r="B162" t="s">
        <v>1068</v>
      </c>
      <c r="C162">
        <v>3.7000000000000002E-3</v>
      </c>
      <c r="D162">
        <v>7.4000000000000003E-3</v>
      </c>
      <c r="E162">
        <v>3283841</v>
      </c>
      <c r="F162">
        <v>123380</v>
      </c>
      <c r="G162" t="s">
        <v>1073</v>
      </c>
      <c r="H162">
        <v>888880000</v>
      </c>
      <c r="I162">
        <f>Cleaned_Data[[#This Row],[Volume (24h) USD]]/Cleaned_Data[[#This Row],[Circulating_Supply($)]]</f>
        <v>1.3880388803888039E-4</v>
      </c>
      <c r="J162">
        <f>RANK(Cleaned_Data[[#This Row],[Market Cap]],Cleaned_Data[Market Cap],0)</f>
        <v>161</v>
      </c>
      <c r="K162" t="str">
        <f t="shared" ref="K162:K188" si="5">IF(C162&lt;=0.5,"0-0.5",
 IF(C162&lt;=1,"0.5-1",
  IF(C162&lt;=2,"1-2",
   IF(C162&lt;=10,"2-10",
    IF(C162&lt;=100,"10-100",
     IF(C162&lt;=10000,"100-10000",
      "10000+"))))))</f>
        <v>0-0.5</v>
      </c>
    </row>
    <row r="163" spans="1:11" x14ac:dyDescent="0.35">
      <c r="A163" t="s">
        <v>1074</v>
      </c>
      <c r="B163" t="s">
        <v>1075</v>
      </c>
      <c r="C163">
        <v>5.0000000000000001E-3</v>
      </c>
      <c r="D163">
        <v>1.6999999999999999E-3</v>
      </c>
      <c r="E163">
        <v>2780822</v>
      </c>
      <c r="F163">
        <v>492884</v>
      </c>
      <c r="G163" t="s">
        <v>1080</v>
      </c>
      <c r="H163">
        <v>553850000</v>
      </c>
      <c r="I163">
        <f>Cleaned_Data[[#This Row],[Volume (24h) USD]]/Cleaned_Data[[#This Row],[Circulating_Supply($)]]</f>
        <v>8.8992326442177488E-4</v>
      </c>
      <c r="J163">
        <f>RANK(Cleaned_Data[[#This Row],[Market Cap]],Cleaned_Data[Market Cap],0)</f>
        <v>162</v>
      </c>
      <c r="K163" t="str">
        <f t="shared" si="5"/>
        <v>0-0.5</v>
      </c>
    </row>
    <row r="164" spans="1:11" x14ac:dyDescent="0.35">
      <c r="A164" t="s">
        <v>1081</v>
      </c>
      <c r="B164" t="s">
        <v>1082</v>
      </c>
      <c r="C164">
        <v>3.5000000000000001E-3</v>
      </c>
      <c r="D164">
        <v>3.2000000000000002E-3</v>
      </c>
      <c r="E164">
        <v>2775444</v>
      </c>
      <c r="F164">
        <v>78498</v>
      </c>
      <c r="G164" t="s">
        <v>1086</v>
      </c>
      <c r="H164">
        <v>787000000</v>
      </c>
      <c r="I164">
        <f>Cleaned_Data[[#This Row],[Volume (24h) USD]]/Cleaned_Data[[#This Row],[Circulating_Supply($)]]</f>
        <v>9.9743329097839892E-5</v>
      </c>
      <c r="J164">
        <f>RANK(Cleaned_Data[[#This Row],[Market Cap]],Cleaned_Data[Market Cap],0)</f>
        <v>163</v>
      </c>
      <c r="K164" t="str">
        <f t="shared" si="5"/>
        <v>0-0.5</v>
      </c>
    </row>
    <row r="165" spans="1:11" x14ac:dyDescent="0.35">
      <c r="A165" t="s">
        <v>1091</v>
      </c>
      <c r="B165" t="s">
        <v>1092</v>
      </c>
      <c r="C165">
        <v>5.7000000000000002E-3</v>
      </c>
      <c r="D165">
        <v>4.1000000000000003E-3</v>
      </c>
      <c r="E165">
        <v>2752249</v>
      </c>
      <c r="F165">
        <v>248901</v>
      </c>
      <c r="G165" t="s">
        <v>1096</v>
      </c>
      <c r="H165">
        <v>483880000</v>
      </c>
      <c r="I165">
        <f>Cleaned_Data[[#This Row],[Volume (24h) USD]]/Cleaned_Data[[#This Row],[Circulating_Supply($)]]</f>
        <v>5.1438579813176816E-4</v>
      </c>
      <c r="J165">
        <f>RANK(Cleaned_Data[[#This Row],[Market Cap]],Cleaned_Data[Market Cap],0)</f>
        <v>164</v>
      </c>
      <c r="K165" t="str">
        <f t="shared" si="5"/>
        <v>0-0.5</v>
      </c>
    </row>
    <row r="166" spans="1:11" x14ac:dyDescent="0.35">
      <c r="A166" t="s">
        <v>1097</v>
      </c>
      <c r="B166" t="s">
        <v>1098</v>
      </c>
      <c r="C166">
        <v>2.63</v>
      </c>
      <c r="D166">
        <v>1.66E-2</v>
      </c>
      <c r="E166">
        <v>2740226</v>
      </c>
      <c r="F166">
        <v>650212</v>
      </c>
      <c r="G166" t="s">
        <v>1103</v>
      </c>
      <c r="H166">
        <v>1040000</v>
      </c>
      <c r="I166">
        <f>Cleaned_Data[[#This Row],[Volume (24h) USD]]/Cleaned_Data[[#This Row],[Circulating_Supply($)]]</f>
        <v>0.62520384615384617</v>
      </c>
      <c r="J166">
        <f>RANK(Cleaned_Data[[#This Row],[Market Cap]],Cleaned_Data[Market Cap],0)</f>
        <v>165</v>
      </c>
      <c r="K166" t="str">
        <f t="shared" si="5"/>
        <v>2-10</v>
      </c>
    </row>
    <row r="167" spans="1:11" x14ac:dyDescent="0.35">
      <c r="A167" t="s">
        <v>1104</v>
      </c>
      <c r="B167" t="s">
        <v>1105</v>
      </c>
      <c r="C167">
        <v>7.22E-2</v>
      </c>
      <c r="D167">
        <v>7.1999999999999998E-3</v>
      </c>
      <c r="E167">
        <v>2725328</v>
      </c>
      <c r="F167">
        <v>225992</v>
      </c>
      <c r="G167" t="s">
        <v>1109</v>
      </c>
      <c r="H167">
        <v>37720000</v>
      </c>
      <c r="I167">
        <f>Cleaned_Data[[#This Row],[Volume (24h) USD]]/Cleaned_Data[[#This Row],[Circulating_Supply($)]]</f>
        <v>5.9913043478260868E-3</v>
      </c>
      <c r="J167">
        <f>RANK(Cleaned_Data[[#This Row],[Market Cap]],Cleaned_Data[Market Cap],0)</f>
        <v>166</v>
      </c>
      <c r="K167" t="str">
        <f t="shared" si="5"/>
        <v>0-0.5</v>
      </c>
    </row>
    <row r="168" spans="1:11" x14ac:dyDescent="0.35">
      <c r="A168" t="s">
        <v>1110</v>
      </c>
      <c r="B168" t="s">
        <v>1111</v>
      </c>
      <c r="C168">
        <v>2.7000000000000001E-3</v>
      </c>
      <c r="D168">
        <v>3.3E-3</v>
      </c>
      <c r="E168">
        <v>2721575</v>
      </c>
      <c r="F168">
        <v>9317</v>
      </c>
      <c r="G168" t="s">
        <v>1115</v>
      </c>
      <c r="H168">
        <v>993500000</v>
      </c>
      <c r="I168">
        <f>Cleaned_Data[[#This Row],[Volume (24h) USD]]/Cleaned_Data[[#This Row],[Circulating_Supply($)]]</f>
        <v>9.377956718671364E-6</v>
      </c>
      <c r="J168">
        <f>RANK(Cleaned_Data[[#This Row],[Market Cap]],Cleaned_Data[Market Cap],0)</f>
        <v>167</v>
      </c>
      <c r="K168" t="str">
        <f t="shared" si="5"/>
        <v>0-0.5</v>
      </c>
    </row>
    <row r="169" spans="1:11" x14ac:dyDescent="0.35">
      <c r="A169" t="s">
        <v>1116</v>
      </c>
      <c r="B169" t="s">
        <v>1117</v>
      </c>
      <c r="C169">
        <v>0.33800000000000002</v>
      </c>
      <c r="D169">
        <v>1.6199999999999999E-2</v>
      </c>
      <c r="E169">
        <v>2718841</v>
      </c>
      <c r="F169">
        <v>93501</v>
      </c>
      <c r="G169" t="s">
        <v>1122</v>
      </c>
      <c r="H169">
        <v>8039999.9999999991</v>
      </c>
      <c r="I169">
        <f>Cleaned_Data[[#This Row],[Volume (24h) USD]]/Cleaned_Data[[#This Row],[Circulating_Supply($)]]</f>
        <v>1.16294776119403E-2</v>
      </c>
      <c r="J169">
        <f>RANK(Cleaned_Data[[#This Row],[Market Cap]],Cleaned_Data[Market Cap],0)</f>
        <v>168</v>
      </c>
      <c r="K169" t="str">
        <f t="shared" si="5"/>
        <v>0-0.5</v>
      </c>
    </row>
    <row r="170" spans="1:11" x14ac:dyDescent="0.35">
      <c r="A170" t="s">
        <v>1123</v>
      </c>
      <c r="B170" t="s">
        <v>1124</v>
      </c>
      <c r="C170">
        <v>8.8499999999999995E-2</v>
      </c>
      <c r="D170">
        <v>8.9999999999999998E-4</v>
      </c>
      <c r="E170">
        <v>2717949</v>
      </c>
      <c r="F170">
        <v>86410</v>
      </c>
      <c r="G170" t="s">
        <v>1128</v>
      </c>
      <c r="H170">
        <v>320720000000000</v>
      </c>
      <c r="I170">
        <f>Cleaned_Data[[#This Row],[Volume (24h) USD]]/Cleaned_Data[[#This Row],[Circulating_Supply($)]]</f>
        <v>2.6942504365178351E-10</v>
      </c>
      <c r="J170">
        <f>RANK(Cleaned_Data[[#This Row],[Market Cap]],Cleaned_Data[Market Cap],0)</f>
        <v>169</v>
      </c>
      <c r="K170" t="str">
        <f t="shared" si="5"/>
        <v>0-0.5</v>
      </c>
    </row>
    <row r="171" spans="1:11" x14ac:dyDescent="0.35">
      <c r="A171" t="s">
        <v>1129</v>
      </c>
      <c r="B171" t="s">
        <v>1130</v>
      </c>
      <c r="C171">
        <v>1.7899999999999999E-2</v>
      </c>
      <c r="D171">
        <v>6.4000000000000003E-3</v>
      </c>
      <c r="E171">
        <v>2715332</v>
      </c>
      <c r="F171">
        <v>475091</v>
      </c>
      <c r="G171" t="s">
        <v>1135</v>
      </c>
      <c r="H171">
        <v>151660000</v>
      </c>
      <c r="I171">
        <f>Cleaned_Data[[#This Row],[Volume (24h) USD]]/Cleaned_Data[[#This Row],[Circulating_Supply($)]]</f>
        <v>3.1326058288276407E-3</v>
      </c>
      <c r="J171">
        <f>RANK(Cleaned_Data[[#This Row],[Market Cap]],Cleaned_Data[Market Cap],0)</f>
        <v>170</v>
      </c>
      <c r="K171" t="str">
        <f t="shared" si="5"/>
        <v>0-0.5</v>
      </c>
    </row>
    <row r="172" spans="1:11" x14ac:dyDescent="0.35">
      <c r="A172" t="s">
        <v>1136</v>
      </c>
      <c r="B172" t="s">
        <v>1137</v>
      </c>
      <c r="C172">
        <v>5.5399999999999998E-2</v>
      </c>
      <c r="D172">
        <v>1.4E-3</v>
      </c>
      <c r="E172">
        <v>2203902</v>
      </c>
      <c r="F172">
        <v>537558</v>
      </c>
      <c r="G172" t="s">
        <v>1141</v>
      </c>
      <c r="H172">
        <v>409500000000</v>
      </c>
      <c r="I172">
        <f>Cleaned_Data[[#This Row],[Volume (24h) USD]]/Cleaned_Data[[#This Row],[Circulating_Supply($)]]</f>
        <v>1.3127179487179488E-6</v>
      </c>
      <c r="J172">
        <f>RANK(Cleaned_Data[[#This Row],[Market Cap]],Cleaned_Data[Market Cap],0)</f>
        <v>171</v>
      </c>
      <c r="K172" t="str">
        <f t="shared" si="5"/>
        <v>0-0.5</v>
      </c>
    </row>
    <row r="173" spans="1:11" x14ac:dyDescent="0.35">
      <c r="A173" t="s">
        <v>1142</v>
      </c>
      <c r="B173" t="s">
        <v>1143</v>
      </c>
      <c r="C173">
        <v>3.1099999999999999E-2</v>
      </c>
      <c r="D173">
        <v>1.2999999999999999E-3</v>
      </c>
      <c r="E173">
        <v>2196829</v>
      </c>
      <c r="F173">
        <v>181224</v>
      </c>
      <c r="G173" t="s">
        <v>1147</v>
      </c>
      <c r="H173">
        <v>70590000</v>
      </c>
      <c r="I173">
        <f>Cleaned_Data[[#This Row],[Volume (24h) USD]]/Cleaned_Data[[#This Row],[Circulating_Supply($)]]</f>
        <v>2.5672758181045476E-3</v>
      </c>
      <c r="J173">
        <f>RANK(Cleaned_Data[[#This Row],[Market Cap]],Cleaned_Data[Market Cap],0)</f>
        <v>172</v>
      </c>
      <c r="K173" t="str">
        <f t="shared" si="5"/>
        <v>0-0.5</v>
      </c>
    </row>
    <row r="174" spans="1:11" x14ac:dyDescent="0.35">
      <c r="A174" t="s">
        <v>1148</v>
      </c>
      <c r="B174" t="s">
        <v>1149</v>
      </c>
      <c r="C174">
        <v>5.7000000000000002E-3</v>
      </c>
      <c r="D174">
        <v>2.3E-3</v>
      </c>
      <c r="E174">
        <v>2192711</v>
      </c>
      <c r="F174">
        <v>55232</v>
      </c>
      <c r="G174" t="s">
        <v>1153</v>
      </c>
      <c r="H174">
        <v>382950000</v>
      </c>
      <c r="I174">
        <f>Cleaned_Data[[#This Row],[Volume (24h) USD]]/Cleaned_Data[[#This Row],[Circulating_Supply($)]]</f>
        <v>1.4422770596683639E-4</v>
      </c>
      <c r="J174">
        <f>RANK(Cleaned_Data[[#This Row],[Market Cap]],Cleaned_Data[Market Cap],0)</f>
        <v>174</v>
      </c>
      <c r="K174" t="str">
        <f t="shared" si="5"/>
        <v>0-0.5</v>
      </c>
    </row>
    <row r="175" spans="1:11" x14ac:dyDescent="0.35">
      <c r="A175" t="s">
        <v>1154</v>
      </c>
      <c r="B175" t="s">
        <v>1155</v>
      </c>
      <c r="C175">
        <v>5.2200000000000003E-2</v>
      </c>
      <c r="D175">
        <v>3.3E-3</v>
      </c>
      <c r="E175">
        <v>2193844</v>
      </c>
      <c r="F175">
        <v>238266</v>
      </c>
      <c r="G175" t="s">
        <v>1159</v>
      </c>
      <c r="H175">
        <v>1000000000000</v>
      </c>
      <c r="I175">
        <f>Cleaned_Data[[#This Row],[Volume (24h) USD]]/Cleaned_Data[[#This Row],[Circulating_Supply($)]]</f>
        <v>2.38266E-7</v>
      </c>
      <c r="J175">
        <f>RANK(Cleaned_Data[[#This Row],[Market Cap]],Cleaned_Data[Market Cap],0)</f>
        <v>173</v>
      </c>
      <c r="K175" t="str">
        <f t="shared" si="5"/>
        <v>0-0.5</v>
      </c>
    </row>
    <row r="176" spans="1:11" x14ac:dyDescent="0.35">
      <c r="A176" t="s">
        <v>1165</v>
      </c>
      <c r="B176" t="s">
        <v>1166</v>
      </c>
      <c r="C176">
        <v>0.30230000000000001</v>
      </c>
      <c r="D176">
        <v>4.1000000000000003E-3</v>
      </c>
      <c r="E176">
        <v>2187874</v>
      </c>
      <c r="F176">
        <v>49762</v>
      </c>
      <c r="G176" t="s">
        <v>1170</v>
      </c>
      <c r="H176">
        <v>7230000</v>
      </c>
      <c r="I176">
        <f>Cleaned_Data[[#This Row],[Volume (24h) USD]]/Cleaned_Data[[#This Row],[Circulating_Supply($)]]</f>
        <v>6.8827109266943291E-3</v>
      </c>
      <c r="J176">
        <f>RANK(Cleaned_Data[[#This Row],[Market Cap]],Cleaned_Data[Market Cap],0)</f>
        <v>176</v>
      </c>
      <c r="K176" t="str">
        <f t="shared" si="5"/>
        <v>0-0.5</v>
      </c>
    </row>
    <row r="177" spans="1:11" x14ac:dyDescent="0.35">
      <c r="A177" t="s">
        <v>1171</v>
      </c>
      <c r="B177" t="s">
        <v>1172</v>
      </c>
      <c r="C177">
        <v>3.7999999999999999E-2</v>
      </c>
      <c r="D177">
        <v>1.1000000000000001E-3</v>
      </c>
      <c r="E177">
        <v>2179537</v>
      </c>
      <c r="F177">
        <v>1268</v>
      </c>
      <c r="G177" t="s">
        <v>1176</v>
      </c>
      <c r="H177">
        <v>57340000</v>
      </c>
      <c r="I177">
        <f>Cleaned_Data[[#This Row],[Volume (24h) USD]]/Cleaned_Data[[#This Row],[Circulating_Supply($)]]</f>
        <v>2.2113707708406001E-5</v>
      </c>
      <c r="J177">
        <f>RANK(Cleaned_Data[[#This Row],[Market Cap]],Cleaned_Data[Market Cap],0)</f>
        <v>177</v>
      </c>
      <c r="K177" t="str">
        <f t="shared" si="5"/>
        <v>0-0.5</v>
      </c>
    </row>
    <row r="178" spans="1:11" x14ac:dyDescent="0.35">
      <c r="A178" t="s">
        <v>1177</v>
      </c>
      <c r="B178" t="s">
        <v>1178</v>
      </c>
      <c r="C178">
        <v>8.3599999999999994E-2</v>
      </c>
      <c r="D178">
        <v>1.0500000000000001E-2</v>
      </c>
      <c r="E178">
        <v>2178852</v>
      </c>
      <c r="F178">
        <v>3030</v>
      </c>
      <c r="G178" t="s">
        <v>1183</v>
      </c>
      <c r="H178">
        <v>599880000000000</v>
      </c>
      <c r="I178">
        <f>Cleaned_Data[[#This Row],[Volume (24h) USD]]/Cleaned_Data[[#This Row],[Circulating_Supply($)]]</f>
        <v>5.0510102020404078E-12</v>
      </c>
      <c r="J178">
        <f>RANK(Cleaned_Data[[#This Row],[Market Cap]],Cleaned_Data[Market Cap],0)</f>
        <v>178</v>
      </c>
      <c r="K178" t="str">
        <f t="shared" si="5"/>
        <v>0-0.5</v>
      </c>
    </row>
    <row r="179" spans="1:11" x14ac:dyDescent="0.35">
      <c r="A179" t="s">
        <v>1184</v>
      </c>
      <c r="B179" t="s">
        <v>1185</v>
      </c>
      <c r="C179">
        <v>3.3E-3</v>
      </c>
      <c r="D179">
        <v>1.83E-2</v>
      </c>
      <c r="E179">
        <v>2188825</v>
      </c>
      <c r="F179">
        <v>69711</v>
      </c>
      <c r="G179" t="s">
        <v>1190</v>
      </c>
      <c r="H179">
        <v>671090000</v>
      </c>
      <c r="I179">
        <f>Cleaned_Data[[#This Row],[Volume (24h) USD]]/Cleaned_Data[[#This Row],[Circulating_Supply($)]]</f>
        <v>1.0387727428511824E-4</v>
      </c>
      <c r="J179">
        <f>RANK(Cleaned_Data[[#This Row],[Market Cap]],Cleaned_Data[Market Cap],0)</f>
        <v>175</v>
      </c>
      <c r="K179" t="str">
        <f t="shared" si="5"/>
        <v>0-0.5</v>
      </c>
    </row>
    <row r="180" spans="1:11" x14ac:dyDescent="0.35">
      <c r="A180" t="s">
        <v>1195</v>
      </c>
      <c r="B180" t="s">
        <v>1196</v>
      </c>
      <c r="C180">
        <v>2.0400000000000001E-2</v>
      </c>
      <c r="D180">
        <v>2.9999999999999997E-4</v>
      </c>
      <c r="E180">
        <v>1756805</v>
      </c>
      <c r="F180">
        <v>90761</v>
      </c>
      <c r="G180" t="s">
        <v>1200</v>
      </c>
      <c r="H180">
        <v>86060000</v>
      </c>
      <c r="I180">
        <f>Cleaned_Data[[#This Row],[Volume (24h) USD]]/Cleaned_Data[[#This Row],[Circulating_Supply($)]]</f>
        <v>1.0546246804554961E-3</v>
      </c>
      <c r="J180">
        <f>RANK(Cleaned_Data[[#This Row],[Market Cap]],Cleaned_Data[Market Cap],0)</f>
        <v>179</v>
      </c>
      <c r="K180" t="str">
        <f t="shared" si="5"/>
        <v>0-0.5</v>
      </c>
    </row>
    <row r="181" spans="1:11" x14ac:dyDescent="0.35">
      <c r="A181" t="s">
        <v>1201</v>
      </c>
      <c r="B181" t="s">
        <v>1202</v>
      </c>
      <c r="C181">
        <v>1.8E-3</v>
      </c>
      <c r="D181">
        <v>4.2700000000000002E-2</v>
      </c>
      <c r="E181">
        <v>1755788</v>
      </c>
      <c r="F181">
        <v>403029</v>
      </c>
      <c r="G181" t="s">
        <v>318</v>
      </c>
      <c r="H181">
        <v>999990000</v>
      </c>
      <c r="I181">
        <f>Cleaned_Data[[#This Row],[Volume (24h) USD]]/Cleaned_Data[[#This Row],[Circulating_Supply($)]]</f>
        <v>4.0303303033030328E-4</v>
      </c>
      <c r="J181">
        <f>RANK(Cleaned_Data[[#This Row],[Market Cap]],Cleaned_Data[Market Cap],0)</f>
        <v>180</v>
      </c>
      <c r="K181" t="str">
        <f t="shared" si="5"/>
        <v>0-0.5</v>
      </c>
    </row>
    <row r="182" spans="1:11" x14ac:dyDescent="0.35">
      <c r="A182" t="s">
        <v>1207</v>
      </c>
      <c r="B182" t="s">
        <v>1208</v>
      </c>
      <c r="C182">
        <v>3.3799999999999997E-2</v>
      </c>
      <c r="D182">
        <v>7.4000000000000003E-3</v>
      </c>
      <c r="E182">
        <v>1754868</v>
      </c>
      <c r="F182">
        <v>637</v>
      </c>
      <c r="G182" t="s">
        <v>1212</v>
      </c>
      <c r="H182">
        <v>51980000</v>
      </c>
      <c r="I182">
        <f>Cleaned_Data[[#This Row],[Volume (24h) USD]]/Cleaned_Data[[#This Row],[Circulating_Supply($)]]</f>
        <v>1.2254713351288958E-5</v>
      </c>
      <c r="J182">
        <f>RANK(Cleaned_Data[[#This Row],[Market Cap]],Cleaned_Data[Market Cap],0)</f>
        <v>181</v>
      </c>
      <c r="K182" t="str">
        <f t="shared" si="5"/>
        <v>0-0.5</v>
      </c>
    </row>
    <row r="183" spans="1:11" x14ac:dyDescent="0.35">
      <c r="A183" t="s">
        <v>1213</v>
      </c>
      <c r="B183" t="s">
        <v>1214</v>
      </c>
      <c r="C183">
        <v>1.5900000000000001E-2</v>
      </c>
      <c r="D183">
        <v>1.4E-3</v>
      </c>
      <c r="E183">
        <v>1752254</v>
      </c>
      <c r="F183">
        <v>73794</v>
      </c>
      <c r="G183" t="s">
        <v>1218</v>
      </c>
      <c r="H183">
        <v>110370000</v>
      </c>
      <c r="I183">
        <f>Cleaned_Data[[#This Row],[Volume (24h) USD]]/Cleaned_Data[[#This Row],[Circulating_Supply($)]]</f>
        <v>6.6860559934764884E-4</v>
      </c>
      <c r="J183">
        <f>RANK(Cleaned_Data[[#This Row],[Market Cap]],Cleaned_Data[Market Cap],0)</f>
        <v>182</v>
      </c>
      <c r="K183" t="str">
        <f t="shared" si="5"/>
        <v>0-0.5</v>
      </c>
    </row>
    <row r="184" spans="1:11" x14ac:dyDescent="0.35">
      <c r="A184" t="s">
        <v>1219</v>
      </c>
      <c r="B184" t="s">
        <v>1220</v>
      </c>
      <c r="C184">
        <v>6.6E-3</v>
      </c>
      <c r="D184">
        <v>1.2999999999999999E-3</v>
      </c>
      <c r="E184">
        <v>1747236</v>
      </c>
      <c r="F184">
        <v>99738</v>
      </c>
      <c r="G184" t="s">
        <v>1224</v>
      </c>
      <c r="H184">
        <v>266690000</v>
      </c>
      <c r="I184">
        <f>Cleaned_Data[[#This Row],[Volume (24h) USD]]/Cleaned_Data[[#This Row],[Circulating_Supply($)]]</f>
        <v>3.7398477633207095E-4</v>
      </c>
      <c r="J184">
        <f>RANK(Cleaned_Data[[#This Row],[Market Cap]],Cleaned_Data[Market Cap],0)</f>
        <v>183</v>
      </c>
      <c r="K184" t="str">
        <f t="shared" si="5"/>
        <v>0-0.5</v>
      </c>
    </row>
    <row r="185" spans="1:11" x14ac:dyDescent="0.35">
      <c r="A185" t="s">
        <v>1225</v>
      </c>
      <c r="B185" t="s">
        <v>1226</v>
      </c>
      <c r="C185">
        <v>1.1000000000000001E-3</v>
      </c>
      <c r="D185">
        <v>5.7999999999999996E-3</v>
      </c>
      <c r="E185">
        <v>1745226</v>
      </c>
      <c r="F185">
        <v>57798</v>
      </c>
      <c r="G185" t="s">
        <v>113</v>
      </c>
      <c r="H185">
        <v>1600000000</v>
      </c>
      <c r="I185">
        <f>Cleaned_Data[[#This Row],[Volume (24h) USD]]/Cleaned_Data[[#This Row],[Circulating_Supply($)]]</f>
        <v>3.6123749999999998E-5</v>
      </c>
      <c r="J185">
        <f>RANK(Cleaned_Data[[#This Row],[Market Cap]],Cleaned_Data[Market Cap],0)</f>
        <v>184</v>
      </c>
      <c r="K185" t="str">
        <f t="shared" si="5"/>
        <v>0-0.5</v>
      </c>
    </row>
    <row r="186" spans="1:11" x14ac:dyDescent="0.35">
      <c r="A186" t="s">
        <v>1231</v>
      </c>
      <c r="B186" t="s">
        <v>1232</v>
      </c>
      <c r="C186">
        <v>1E-4</v>
      </c>
      <c r="D186">
        <v>2.0000000000000001E-4</v>
      </c>
      <c r="E186">
        <v>1739324</v>
      </c>
      <c r="F186">
        <v>28022</v>
      </c>
      <c r="G186" t="s">
        <v>1236</v>
      </c>
      <c r="H186">
        <v>29700000000</v>
      </c>
      <c r="I186">
        <f>Cleaned_Data[[#This Row],[Volume (24h) USD]]/Cleaned_Data[[#This Row],[Circulating_Supply($)]]</f>
        <v>9.4350168350168355E-7</v>
      </c>
      <c r="J186">
        <f>RANK(Cleaned_Data[[#This Row],[Market Cap]],Cleaned_Data[Market Cap],0)</f>
        <v>185</v>
      </c>
      <c r="K186" t="str">
        <f t="shared" si="5"/>
        <v>0-0.5</v>
      </c>
    </row>
    <row r="187" spans="1:11" x14ac:dyDescent="0.35">
      <c r="A187" t="s">
        <v>1237</v>
      </c>
      <c r="B187" t="s">
        <v>1238</v>
      </c>
      <c r="C187">
        <v>7.3000000000000001E-3</v>
      </c>
      <c r="D187">
        <v>0</v>
      </c>
      <c r="E187">
        <v>1738739</v>
      </c>
      <c r="F187">
        <v>52</v>
      </c>
      <c r="G187" t="s">
        <v>1242</v>
      </c>
      <c r="H187">
        <v>239740000</v>
      </c>
      <c r="I187">
        <f>Cleaned_Data[[#This Row],[Volume (24h) USD]]/Cleaned_Data[[#This Row],[Circulating_Supply($)]]</f>
        <v>2.1690164344706766E-7</v>
      </c>
      <c r="J187">
        <f>RANK(Cleaned_Data[[#This Row],[Market Cap]],Cleaned_Data[Market Cap],0)</f>
        <v>186</v>
      </c>
      <c r="K187" t="str">
        <f t="shared" si="5"/>
        <v>0-0.5</v>
      </c>
    </row>
    <row r="188" spans="1:11" x14ac:dyDescent="0.35">
      <c r="A188" t="s">
        <v>1243</v>
      </c>
      <c r="B188" t="s">
        <v>1243</v>
      </c>
      <c r="C188">
        <v>1.9E-3</v>
      </c>
      <c r="D188">
        <v>2.5999999999999999E-3</v>
      </c>
      <c r="E188">
        <v>1736200</v>
      </c>
      <c r="F188">
        <v>105335</v>
      </c>
      <c r="G188" t="s">
        <v>1248</v>
      </c>
      <c r="H188">
        <v>927740000</v>
      </c>
      <c r="I188">
        <f>Cleaned_Data[[#This Row],[Volume (24h) USD]]/Cleaned_Data[[#This Row],[Circulating_Supply($)]]</f>
        <v>1.1353935369823442E-4</v>
      </c>
      <c r="J188">
        <f>RANK(Cleaned_Data[[#This Row],[Market Cap]],Cleaned_Data[Market Cap],0)</f>
        <v>187</v>
      </c>
      <c r="K188" t="str">
        <f t="shared" si="5"/>
        <v>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248DD-698D-4D6B-9D98-6062081DDE8F}">
  <dimension ref="A2:AE191"/>
  <sheetViews>
    <sheetView topLeftCell="F27" zoomScale="35" workbookViewId="0">
      <selection activeCell="Q65" sqref="Q62:R82"/>
    </sheetView>
  </sheetViews>
  <sheetFormatPr defaultRowHeight="14.5" x14ac:dyDescent="0.35"/>
  <cols>
    <col min="1" max="1" width="22.1796875" bestFit="1" customWidth="1"/>
    <col min="2" max="2" width="33.08984375" bestFit="1" customWidth="1"/>
    <col min="3" max="3" width="19.54296875" bestFit="1" customWidth="1"/>
    <col min="17" max="17" width="21.08984375" bestFit="1" customWidth="1"/>
    <col min="18" max="18" width="25.54296875" bestFit="1" customWidth="1"/>
    <col min="21" max="21" width="38" bestFit="1" customWidth="1"/>
    <col min="26" max="27" width="14" bestFit="1" customWidth="1"/>
    <col min="30" max="30" width="36.453125" bestFit="1" customWidth="1"/>
    <col min="31" max="31" width="25.26953125" bestFit="1" customWidth="1"/>
  </cols>
  <sheetData>
    <row r="2" spans="1:31" x14ac:dyDescent="0.35">
      <c r="A2" s="2" t="s">
        <v>0</v>
      </c>
      <c r="B2" t="s">
        <v>1260</v>
      </c>
    </row>
    <row r="3" spans="1:31" x14ac:dyDescent="0.35">
      <c r="A3" s="3" t="s">
        <v>7</v>
      </c>
      <c r="B3" s="4">
        <v>112396.23</v>
      </c>
      <c r="Y3" t="s">
        <v>1258</v>
      </c>
      <c r="AA3">
        <f>GETPIVOTDATA("Market Cap",$AD$4)</f>
        <v>3562838567434</v>
      </c>
    </row>
    <row r="4" spans="1:31" x14ac:dyDescent="0.35">
      <c r="A4" s="3" t="s">
        <v>14</v>
      </c>
      <c r="B4" s="4">
        <v>4631.6899999999996</v>
      </c>
      <c r="AD4" s="2" t="s">
        <v>0</v>
      </c>
      <c r="AE4" t="s">
        <v>1265</v>
      </c>
    </row>
    <row r="5" spans="1:31" x14ac:dyDescent="0.35">
      <c r="A5" s="3" t="s">
        <v>34</v>
      </c>
      <c r="B5" s="4">
        <v>864.91</v>
      </c>
      <c r="Y5" t="str">
        <f>AD5</f>
        <v>Bitcoin</v>
      </c>
      <c r="Z5">
        <f>AE5</f>
        <v>2236591973065</v>
      </c>
      <c r="AD5" s="3" t="s">
        <v>7</v>
      </c>
      <c r="AE5" s="4">
        <v>2236591973065</v>
      </c>
    </row>
    <row r="6" spans="1:31" x14ac:dyDescent="0.35">
      <c r="A6" s="3" t="s">
        <v>40</v>
      </c>
      <c r="B6" s="4">
        <v>208.97</v>
      </c>
      <c r="Y6" t="str">
        <f t="shared" ref="Y6:Y9" si="0">AD6</f>
        <v>Ethereum</v>
      </c>
      <c r="Z6">
        <f t="shared" ref="Z6:Z9" si="1">AE6</f>
        <v>558774287294</v>
      </c>
      <c r="AD6" s="3" t="s">
        <v>14</v>
      </c>
      <c r="AE6" s="4">
        <v>558774287294</v>
      </c>
    </row>
    <row r="7" spans="1:31" x14ac:dyDescent="0.35">
      <c r="A7" s="3" t="s">
        <v>81</v>
      </c>
      <c r="B7" s="4">
        <v>42.45</v>
      </c>
      <c r="Y7" t="str">
        <f t="shared" si="0"/>
        <v>XRP</v>
      </c>
      <c r="Z7">
        <f t="shared" si="1"/>
        <v>179761935139</v>
      </c>
      <c r="AD7" s="3" t="s">
        <v>21</v>
      </c>
      <c r="AE7" s="4">
        <v>179761935139</v>
      </c>
    </row>
    <row r="8" spans="1:31" x14ac:dyDescent="0.35">
      <c r="A8" s="3" t="s">
        <v>638</v>
      </c>
      <c r="B8" s="4">
        <v>16.850000000000001</v>
      </c>
      <c r="Y8" t="str">
        <f t="shared" si="0"/>
        <v>Tether</v>
      </c>
      <c r="Z8">
        <f t="shared" si="1"/>
        <v>167211922205</v>
      </c>
      <c r="AD8" s="3" t="s">
        <v>27</v>
      </c>
      <c r="AE8" s="4">
        <v>167211922205</v>
      </c>
    </row>
    <row r="9" spans="1:31" x14ac:dyDescent="0.35">
      <c r="A9" s="3" t="s">
        <v>365</v>
      </c>
      <c r="B9" s="4">
        <v>11.79</v>
      </c>
      <c r="Y9" t="str">
        <f t="shared" si="0"/>
        <v>BNB</v>
      </c>
      <c r="Z9">
        <f t="shared" si="1"/>
        <v>120460279991</v>
      </c>
      <c r="AD9" s="3" t="s">
        <v>34</v>
      </c>
      <c r="AE9" s="4">
        <v>120460279991</v>
      </c>
    </row>
    <row r="10" spans="1:31" x14ac:dyDescent="0.35">
      <c r="A10" s="3" t="s">
        <v>378</v>
      </c>
      <c r="B10" s="4">
        <v>10.119999999999999</v>
      </c>
      <c r="Y10" t="s">
        <v>1266</v>
      </c>
      <c r="Z10">
        <f>AA3-SUM(Z5:Z9)</f>
        <v>300038169740</v>
      </c>
      <c r="AD10" s="3" t="s">
        <v>40</v>
      </c>
      <c r="AE10" s="4">
        <v>112989075044</v>
      </c>
    </row>
    <row r="11" spans="1:31" x14ac:dyDescent="0.35">
      <c r="A11" s="3" t="s">
        <v>926</v>
      </c>
      <c r="B11" s="4">
        <v>9.06</v>
      </c>
      <c r="AD11" s="3" t="s">
        <v>47</v>
      </c>
      <c r="AE11" s="4">
        <v>69140705171</v>
      </c>
    </row>
    <row r="12" spans="1:31" x14ac:dyDescent="0.35">
      <c r="A12" s="3" t="s">
        <v>114</v>
      </c>
      <c r="B12" s="4">
        <v>7.42</v>
      </c>
      <c r="AD12" s="3" t="s">
        <v>53</v>
      </c>
      <c r="AE12" s="4">
        <v>33418883909</v>
      </c>
    </row>
    <row r="13" spans="1:31" x14ac:dyDescent="0.35">
      <c r="A13" s="3" t="s">
        <v>1258</v>
      </c>
      <c r="B13" s="4">
        <v>118199.48999999999</v>
      </c>
      <c r="AD13" s="3" t="s">
        <v>60</v>
      </c>
      <c r="AE13" s="4">
        <v>33151724508</v>
      </c>
    </row>
    <row r="14" spans="1:31" x14ac:dyDescent="0.35">
      <c r="AD14" s="3" t="s">
        <v>67</v>
      </c>
      <c r="AE14" s="4">
        <v>31055700401</v>
      </c>
    </row>
    <row r="15" spans="1:31" x14ac:dyDescent="0.35">
      <c r="AD15" s="3" t="s">
        <v>141</v>
      </c>
      <c r="AE15" s="4">
        <v>1982420729</v>
      </c>
    </row>
    <row r="16" spans="1:31" x14ac:dyDescent="0.35">
      <c r="AD16" s="3" t="s">
        <v>148</v>
      </c>
      <c r="AE16" s="4">
        <v>1955931785</v>
      </c>
    </row>
    <row r="17" spans="1:31" x14ac:dyDescent="0.35">
      <c r="AD17" s="3" t="s">
        <v>155</v>
      </c>
      <c r="AE17" s="4">
        <v>1253095193</v>
      </c>
    </row>
    <row r="18" spans="1:31" x14ac:dyDescent="0.35">
      <c r="AD18" s="3" t="s">
        <v>161</v>
      </c>
      <c r="AE18" s="4">
        <v>738956737</v>
      </c>
    </row>
    <row r="19" spans="1:31" x14ac:dyDescent="0.35">
      <c r="AD19" s="3" t="s">
        <v>168</v>
      </c>
      <c r="AE19" s="4">
        <v>691597867</v>
      </c>
    </row>
    <row r="20" spans="1:31" x14ac:dyDescent="0.35">
      <c r="AD20" s="3" t="s">
        <v>74</v>
      </c>
      <c r="AE20" s="4">
        <v>687657857</v>
      </c>
    </row>
    <row r="21" spans="1:31" x14ac:dyDescent="0.35">
      <c r="A21" s="2" t="s">
        <v>0</v>
      </c>
      <c r="B21" t="s">
        <v>1261</v>
      </c>
      <c r="AD21" s="3" t="s">
        <v>81</v>
      </c>
      <c r="AE21" s="4">
        <v>687228061</v>
      </c>
    </row>
    <row r="22" spans="1:31" x14ac:dyDescent="0.35">
      <c r="A22" s="3" t="s">
        <v>732</v>
      </c>
      <c r="B22" s="4">
        <v>2.5999999999999999E-2</v>
      </c>
      <c r="AD22" s="3" t="s">
        <v>88</v>
      </c>
      <c r="AE22" s="4">
        <v>683949558</v>
      </c>
    </row>
    <row r="23" spans="1:31" x14ac:dyDescent="0.35">
      <c r="A23" s="3" t="s">
        <v>1184</v>
      </c>
      <c r="B23" s="4">
        <v>1.83E-2</v>
      </c>
      <c r="AD23" s="3" t="s">
        <v>94</v>
      </c>
      <c r="AE23" s="4">
        <v>673440961</v>
      </c>
    </row>
    <row r="24" spans="1:31" x14ac:dyDescent="0.35">
      <c r="A24" s="3" t="s">
        <v>1201</v>
      </c>
      <c r="B24" s="4">
        <v>4.2700000000000002E-2</v>
      </c>
      <c r="AD24" s="3" t="s">
        <v>101</v>
      </c>
      <c r="AE24" s="4">
        <v>656968217</v>
      </c>
    </row>
    <row r="25" spans="1:31" x14ac:dyDescent="0.35">
      <c r="A25" s="3" t="s">
        <v>908</v>
      </c>
      <c r="B25" s="4">
        <v>2.9399999999999999E-2</v>
      </c>
      <c r="AD25" s="3" t="s">
        <v>174</v>
      </c>
      <c r="AE25" s="4">
        <v>642088143</v>
      </c>
    </row>
    <row r="26" spans="1:31" x14ac:dyDescent="0.35">
      <c r="A26" s="3" t="s">
        <v>1097</v>
      </c>
      <c r="B26" s="4">
        <v>1.66E-2</v>
      </c>
      <c r="AD26" s="3" t="s">
        <v>107</v>
      </c>
      <c r="AE26" s="4">
        <v>626962319</v>
      </c>
    </row>
    <row r="27" spans="1:31" x14ac:dyDescent="0.35">
      <c r="A27" s="3" t="s">
        <v>859</v>
      </c>
      <c r="B27" s="4">
        <v>2.8500000000000001E-2</v>
      </c>
      <c r="AD27" s="3" t="s">
        <v>114</v>
      </c>
      <c r="AE27" s="4">
        <v>621864440</v>
      </c>
    </row>
    <row r="28" spans="1:31" x14ac:dyDescent="0.35">
      <c r="A28" s="3" t="s">
        <v>739</v>
      </c>
      <c r="B28" s="4">
        <v>1.6400000000000001E-2</v>
      </c>
      <c r="Q28" t="s">
        <v>1267</v>
      </c>
      <c r="U28" t="s">
        <v>1265</v>
      </c>
      <c r="AD28" s="3" t="s">
        <v>181</v>
      </c>
      <c r="AE28" s="4">
        <v>607020903</v>
      </c>
    </row>
    <row r="29" spans="1:31" x14ac:dyDescent="0.35">
      <c r="A29" s="3" t="s">
        <v>1116</v>
      </c>
      <c r="B29" s="4">
        <v>1.6199999999999999E-2</v>
      </c>
      <c r="U29" s="4">
        <v>3562838567434</v>
      </c>
      <c r="AD29" s="3" t="s">
        <v>120</v>
      </c>
      <c r="AE29" s="4">
        <v>577405381</v>
      </c>
    </row>
    <row r="30" spans="1:31" x14ac:dyDescent="0.35">
      <c r="A30" s="3" t="s">
        <v>968</v>
      </c>
      <c r="B30" s="4">
        <v>3.6900000000000002E-2</v>
      </c>
      <c r="Q30" t="s">
        <v>1268</v>
      </c>
      <c r="AD30" s="3" t="s">
        <v>127</v>
      </c>
      <c r="AE30" s="4">
        <v>572387192</v>
      </c>
    </row>
    <row r="31" spans="1:31" x14ac:dyDescent="0.35">
      <c r="A31" s="3" t="s">
        <v>522</v>
      </c>
      <c r="B31" s="4">
        <v>2.1600000000000001E-2</v>
      </c>
      <c r="U31" t="s">
        <v>1259</v>
      </c>
      <c r="AD31" s="3" t="s">
        <v>134</v>
      </c>
      <c r="AE31" s="4">
        <v>567782071</v>
      </c>
    </row>
    <row r="32" spans="1:31" x14ac:dyDescent="0.35">
      <c r="A32" s="3" t="s">
        <v>1258</v>
      </c>
      <c r="B32" s="4">
        <v>0.25259999999999999</v>
      </c>
      <c r="Q32" t="s">
        <v>1269</v>
      </c>
      <c r="U32" s="4">
        <v>118265.22800000003</v>
      </c>
      <c r="AD32" s="3" t="s">
        <v>188</v>
      </c>
      <c r="AE32" s="4">
        <v>545355889</v>
      </c>
    </row>
    <row r="33" spans="1:31" x14ac:dyDescent="0.35">
      <c r="AD33" s="3" t="s">
        <v>195</v>
      </c>
      <c r="AE33" s="4">
        <v>538269461</v>
      </c>
    </row>
    <row r="34" spans="1:31" x14ac:dyDescent="0.35">
      <c r="Q34" t="s">
        <v>1270</v>
      </c>
      <c r="U34" t="s">
        <v>1264</v>
      </c>
      <c r="AD34" s="3" t="s">
        <v>202</v>
      </c>
      <c r="AE34" s="4">
        <v>503419749</v>
      </c>
    </row>
    <row r="35" spans="1:31" x14ac:dyDescent="0.35">
      <c r="U35" s="4">
        <v>4437573783149840</v>
      </c>
      <c r="AD35" s="3" t="s">
        <v>219</v>
      </c>
      <c r="AE35" s="4">
        <v>167179962</v>
      </c>
    </row>
    <row r="36" spans="1:31" x14ac:dyDescent="0.35">
      <c r="Q36" t="s">
        <v>1271</v>
      </c>
      <c r="T36" t="str">
        <f>A3</f>
        <v>Bitcoin</v>
      </c>
      <c r="AD36" s="3" t="s">
        <v>209</v>
      </c>
      <c r="AE36" s="4">
        <v>136125306</v>
      </c>
    </row>
    <row r="37" spans="1:31" x14ac:dyDescent="0.35">
      <c r="AD37" s="3" t="s">
        <v>214</v>
      </c>
      <c r="AE37" s="4">
        <v>132578463</v>
      </c>
    </row>
    <row r="38" spans="1:31" x14ac:dyDescent="0.35">
      <c r="A38" s="2" t="s">
        <v>1257</v>
      </c>
      <c r="B38" t="s">
        <v>1262</v>
      </c>
      <c r="C38" t="s">
        <v>1263</v>
      </c>
      <c r="Q38" t="s">
        <v>1272</v>
      </c>
      <c r="T38">
        <f>B3</f>
        <v>112396.23</v>
      </c>
      <c r="AD38" s="3" t="s">
        <v>225</v>
      </c>
      <c r="AE38" s="4">
        <v>131880666</v>
      </c>
    </row>
    <row r="39" spans="1:31" x14ac:dyDescent="0.35">
      <c r="A39" s="3" t="s">
        <v>7</v>
      </c>
      <c r="B39" s="4">
        <v>3073.6519340030136</v>
      </c>
      <c r="C39" s="4">
        <v>112396.23</v>
      </c>
      <c r="AD39" s="3" t="s">
        <v>231</v>
      </c>
      <c r="AE39" s="4">
        <v>129554753</v>
      </c>
    </row>
    <row r="40" spans="1:31" x14ac:dyDescent="0.35">
      <c r="A40" s="3" t="s">
        <v>34</v>
      </c>
      <c r="B40" s="4">
        <v>16.360382876220562</v>
      </c>
      <c r="C40" s="4">
        <v>864.91</v>
      </c>
      <c r="AD40" s="3" t="s">
        <v>238</v>
      </c>
      <c r="AE40" s="4">
        <v>128872926</v>
      </c>
    </row>
    <row r="41" spans="1:31" x14ac:dyDescent="0.35">
      <c r="A41" s="3" t="s">
        <v>378</v>
      </c>
      <c r="B41" s="4">
        <v>4.5658226600985223</v>
      </c>
      <c r="C41" s="4">
        <v>10.119999999999999</v>
      </c>
      <c r="AD41" s="3" t="s">
        <v>242</v>
      </c>
      <c r="AE41" s="4">
        <v>128393361</v>
      </c>
    </row>
    <row r="42" spans="1:31" x14ac:dyDescent="0.35">
      <c r="A42" s="3" t="s">
        <v>14</v>
      </c>
      <c r="B42" s="4">
        <v>362.17572245236124</v>
      </c>
      <c r="C42" s="4">
        <v>4631.6899999999996</v>
      </c>
      <c r="AD42" s="3" t="s">
        <v>249</v>
      </c>
      <c r="AE42" s="4">
        <v>128203844</v>
      </c>
    </row>
    <row r="43" spans="1:31" x14ac:dyDescent="0.35">
      <c r="A43" s="3" t="s">
        <v>1097</v>
      </c>
      <c r="B43" s="4">
        <v>0.62520384615384617</v>
      </c>
      <c r="C43" s="4">
        <v>2.63</v>
      </c>
      <c r="AD43" s="3" t="s">
        <v>256</v>
      </c>
      <c r="AE43" s="4">
        <v>127672149</v>
      </c>
    </row>
    <row r="44" spans="1:31" x14ac:dyDescent="0.35">
      <c r="A44" s="3" t="s">
        <v>453</v>
      </c>
      <c r="B44" s="4">
        <v>0.38257109462800631</v>
      </c>
      <c r="C44" s="4">
        <v>0.249</v>
      </c>
      <c r="AD44" s="3" t="s">
        <v>262</v>
      </c>
      <c r="AE44" s="4">
        <v>127660598</v>
      </c>
    </row>
    <row r="45" spans="1:31" x14ac:dyDescent="0.35">
      <c r="A45" s="3" t="s">
        <v>40</v>
      </c>
      <c r="B45" s="4">
        <v>18.730564196274994</v>
      </c>
      <c r="C45" s="4">
        <v>208.97</v>
      </c>
      <c r="AD45" s="3" t="s">
        <v>269</v>
      </c>
      <c r="AE45" s="4">
        <v>87828987</v>
      </c>
    </row>
    <row r="46" spans="1:31" x14ac:dyDescent="0.35">
      <c r="A46" s="3" t="s">
        <v>771</v>
      </c>
      <c r="B46" s="4">
        <v>5.7061885227272731</v>
      </c>
      <c r="C46" s="4">
        <v>0.99929999999999997</v>
      </c>
      <c r="AD46" s="3" t="s">
        <v>276</v>
      </c>
      <c r="AE46" s="4">
        <v>87776158</v>
      </c>
    </row>
    <row r="47" spans="1:31" x14ac:dyDescent="0.35">
      <c r="A47" s="3" t="s">
        <v>27</v>
      </c>
      <c r="B47" s="4">
        <v>0.70126850046052636</v>
      </c>
      <c r="C47" s="4">
        <v>1</v>
      </c>
      <c r="AD47" s="3" t="s">
        <v>282</v>
      </c>
      <c r="AE47" s="4">
        <v>86786092</v>
      </c>
    </row>
    <row r="48" spans="1:31" x14ac:dyDescent="0.35">
      <c r="A48" s="3" t="s">
        <v>81</v>
      </c>
      <c r="B48" s="4">
        <v>4.3963110012360938</v>
      </c>
      <c r="C48" s="4">
        <v>42.45</v>
      </c>
      <c r="AD48" s="3" t="s">
        <v>288</v>
      </c>
      <c r="AE48" s="4">
        <v>86613592</v>
      </c>
    </row>
    <row r="49" spans="1:31" x14ac:dyDescent="0.35">
      <c r="A49" s="3" t="s">
        <v>1258</v>
      </c>
      <c r="B49" s="4">
        <v>3487.2959691531746</v>
      </c>
      <c r="C49" s="4">
        <v>118159.24829999999</v>
      </c>
      <c r="AD49" s="3" t="s">
        <v>300</v>
      </c>
      <c r="AE49" s="4">
        <v>86441423</v>
      </c>
    </row>
    <row r="50" spans="1:31" x14ac:dyDescent="0.35">
      <c r="AD50" s="3" t="s">
        <v>294</v>
      </c>
      <c r="AE50" s="4">
        <v>86345798</v>
      </c>
    </row>
    <row r="51" spans="1:31" x14ac:dyDescent="0.35">
      <c r="AD51" s="3" t="s">
        <v>306</v>
      </c>
      <c r="AE51" s="4">
        <v>85996731</v>
      </c>
    </row>
    <row r="52" spans="1:31" x14ac:dyDescent="0.35">
      <c r="AD52" s="3" t="s">
        <v>312</v>
      </c>
      <c r="AE52" s="4">
        <v>85680579</v>
      </c>
    </row>
    <row r="53" spans="1:31" x14ac:dyDescent="0.35">
      <c r="AD53" s="3" t="s">
        <v>319</v>
      </c>
      <c r="AE53" s="4">
        <v>85436011</v>
      </c>
    </row>
    <row r="54" spans="1:31" x14ac:dyDescent="0.35">
      <c r="AD54" s="3" t="s">
        <v>332</v>
      </c>
      <c r="AE54" s="4">
        <v>62836837</v>
      </c>
    </row>
    <row r="55" spans="1:31" x14ac:dyDescent="0.35">
      <c r="AD55" s="3" t="s">
        <v>339</v>
      </c>
      <c r="AE55" s="4">
        <v>62825935</v>
      </c>
    </row>
    <row r="56" spans="1:31" x14ac:dyDescent="0.35">
      <c r="AD56" s="3" t="s">
        <v>346</v>
      </c>
      <c r="AE56" s="4">
        <v>62746080</v>
      </c>
    </row>
    <row r="57" spans="1:31" x14ac:dyDescent="0.35">
      <c r="AD57" s="3" t="s">
        <v>352</v>
      </c>
      <c r="AE57" s="4">
        <v>62547790</v>
      </c>
    </row>
    <row r="58" spans="1:31" x14ac:dyDescent="0.35">
      <c r="AD58" s="3" t="s">
        <v>358</v>
      </c>
      <c r="AE58" s="4">
        <v>62328087</v>
      </c>
    </row>
    <row r="59" spans="1:31" x14ac:dyDescent="0.35">
      <c r="AD59" s="3" t="s">
        <v>365</v>
      </c>
      <c r="AE59" s="4">
        <v>62064898</v>
      </c>
    </row>
    <row r="60" spans="1:31" x14ac:dyDescent="0.35">
      <c r="AD60" s="3" t="s">
        <v>371</v>
      </c>
      <c r="AE60" s="4">
        <v>61786840</v>
      </c>
    </row>
    <row r="61" spans="1:31" x14ac:dyDescent="0.35">
      <c r="AD61" s="3" t="s">
        <v>378</v>
      </c>
      <c r="AE61" s="4">
        <v>61648001</v>
      </c>
    </row>
    <row r="62" spans="1:31" x14ac:dyDescent="0.35">
      <c r="Q62" s="2" t="s">
        <v>0</v>
      </c>
      <c r="R62" t="s">
        <v>1259</v>
      </c>
      <c r="AD62" s="3" t="s">
        <v>384</v>
      </c>
      <c r="AE62" s="4">
        <v>61619476</v>
      </c>
    </row>
    <row r="63" spans="1:31" x14ac:dyDescent="0.35">
      <c r="Q63" s="3" t="s">
        <v>7</v>
      </c>
      <c r="R63" s="4">
        <v>112396.23</v>
      </c>
      <c r="AD63" s="3" t="s">
        <v>391</v>
      </c>
      <c r="AE63" s="4">
        <v>61481343</v>
      </c>
    </row>
    <row r="64" spans="1:31" x14ac:dyDescent="0.35">
      <c r="Q64" s="5" t="s">
        <v>8</v>
      </c>
      <c r="R64" s="4">
        <v>112396.23</v>
      </c>
      <c r="AD64" s="3" t="s">
        <v>398</v>
      </c>
      <c r="AE64" s="4">
        <v>45704968</v>
      </c>
    </row>
    <row r="65" spans="17:31" x14ac:dyDescent="0.35">
      <c r="Q65" s="3" t="s">
        <v>14</v>
      </c>
      <c r="R65" s="4">
        <v>4631.6899999999996</v>
      </c>
      <c r="AD65" s="3" t="s">
        <v>1</v>
      </c>
      <c r="AE65" s="4">
        <v>45421680</v>
      </c>
    </row>
    <row r="66" spans="17:31" x14ac:dyDescent="0.35">
      <c r="Q66" s="5" t="s">
        <v>15</v>
      </c>
      <c r="R66" s="4">
        <v>4631.6899999999996</v>
      </c>
      <c r="AD66" s="3" t="s">
        <v>410</v>
      </c>
      <c r="AE66" s="4">
        <v>45403740</v>
      </c>
    </row>
    <row r="67" spans="17:31" x14ac:dyDescent="0.35">
      <c r="Q67" s="3" t="s">
        <v>34</v>
      </c>
      <c r="R67" s="4">
        <v>864.91</v>
      </c>
      <c r="AD67" s="3" t="s">
        <v>416</v>
      </c>
      <c r="AE67" s="4">
        <v>45353098</v>
      </c>
    </row>
    <row r="68" spans="17:31" x14ac:dyDescent="0.35">
      <c r="Q68" s="5" t="s">
        <v>34</v>
      </c>
      <c r="R68" s="4">
        <v>864.91</v>
      </c>
      <c r="AD68" s="3" t="s">
        <v>423</v>
      </c>
      <c r="AE68" s="4">
        <v>45266206</v>
      </c>
    </row>
    <row r="69" spans="17:31" x14ac:dyDescent="0.35">
      <c r="Q69" s="3" t="s">
        <v>40</v>
      </c>
      <c r="R69" s="4">
        <v>208.97</v>
      </c>
      <c r="AD69" s="3" t="s">
        <v>429</v>
      </c>
      <c r="AE69" s="4">
        <v>45071702</v>
      </c>
    </row>
    <row r="70" spans="17:31" x14ac:dyDescent="0.35">
      <c r="Q70" s="3" t="s">
        <v>81</v>
      </c>
      <c r="R70" s="4">
        <v>42.45</v>
      </c>
      <c r="AD70" s="3" t="s">
        <v>435</v>
      </c>
      <c r="AE70" s="4">
        <v>45027836</v>
      </c>
    </row>
    <row r="71" spans="17:31" x14ac:dyDescent="0.35">
      <c r="Q71" s="5" t="s">
        <v>82</v>
      </c>
      <c r="R71" s="4">
        <v>42.45</v>
      </c>
      <c r="AD71" s="3" t="s">
        <v>446</v>
      </c>
      <c r="AE71" s="4">
        <v>44872405</v>
      </c>
    </row>
    <row r="72" spans="17:31" x14ac:dyDescent="0.35">
      <c r="Q72" s="3" t="s">
        <v>638</v>
      </c>
      <c r="R72" s="4">
        <v>16.850000000000001</v>
      </c>
      <c r="AD72" s="3" t="s">
        <v>453</v>
      </c>
      <c r="AE72" s="4">
        <v>44330157</v>
      </c>
    </row>
    <row r="73" spans="17:31" x14ac:dyDescent="0.35">
      <c r="Q73" s="5" t="s">
        <v>639</v>
      </c>
      <c r="R73" s="4">
        <v>16.850000000000001</v>
      </c>
      <c r="AD73" s="3" t="s">
        <v>459</v>
      </c>
      <c r="AE73" s="4">
        <v>35354744</v>
      </c>
    </row>
    <row r="74" spans="17:31" x14ac:dyDescent="0.35">
      <c r="Q74" s="3" t="s">
        <v>365</v>
      </c>
      <c r="R74" s="4">
        <v>11.79</v>
      </c>
      <c r="AD74" s="3" t="s">
        <v>471</v>
      </c>
      <c r="AE74" s="4">
        <v>35141644</v>
      </c>
    </row>
    <row r="75" spans="17:31" x14ac:dyDescent="0.35">
      <c r="Q75" s="5" t="s">
        <v>366</v>
      </c>
      <c r="R75" s="4">
        <v>11.79</v>
      </c>
      <c r="AD75" s="3" t="s">
        <v>478</v>
      </c>
      <c r="AE75" s="4">
        <v>35138416</v>
      </c>
    </row>
    <row r="76" spans="17:31" x14ac:dyDescent="0.35">
      <c r="Q76" s="3" t="s">
        <v>378</v>
      </c>
      <c r="R76" s="4">
        <v>10.119999999999999</v>
      </c>
      <c r="AD76" s="3" t="s">
        <v>485</v>
      </c>
      <c r="AE76" s="4">
        <v>35080411</v>
      </c>
    </row>
    <row r="77" spans="17:31" x14ac:dyDescent="0.35">
      <c r="Q77" s="5" t="s">
        <v>379</v>
      </c>
      <c r="R77" s="4">
        <v>10.119999999999999</v>
      </c>
      <c r="AD77" s="3" t="s">
        <v>491</v>
      </c>
      <c r="AE77" s="4">
        <v>35034139</v>
      </c>
    </row>
    <row r="78" spans="17:31" x14ac:dyDescent="0.35">
      <c r="Q78" s="3" t="s">
        <v>926</v>
      </c>
      <c r="R78" s="4">
        <v>9.06</v>
      </c>
      <c r="AD78" s="3" t="s">
        <v>498</v>
      </c>
      <c r="AE78" s="4">
        <v>34972612</v>
      </c>
    </row>
    <row r="79" spans="17:31" x14ac:dyDescent="0.35">
      <c r="Q79" s="5" t="s">
        <v>927</v>
      </c>
      <c r="R79" s="4">
        <v>9.06</v>
      </c>
      <c r="AD79" s="3" t="s">
        <v>504</v>
      </c>
      <c r="AE79" s="4">
        <v>34798359</v>
      </c>
    </row>
    <row r="80" spans="17:31" x14ac:dyDescent="0.35">
      <c r="Q80" s="3" t="s">
        <v>114</v>
      </c>
      <c r="R80" s="4">
        <v>7.42</v>
      </c>
      <c r="AD80" s="3" t="s">
        <v>510</v>
      </c>
      <c r="AE80" s="4">
        <v>34575104</v>
      </c>
    </row>
    <row r="81" spans="17:31" x14ac:dyDescent="0.35">
      <c r="Q81" s="5" t="s">
        <v>115</v>
      </c>
      <c r="R81" s="4">
        <v>7.42</v>
      </c>
      <c r="AD81" s="3" t="s">
        <v>515</v>
      </c>
      <c r="AE81" s="4">
        <v>34508739</v>
      </c>
    </row>
    <row r="82" spans="17:31" x14ac:dyDescent="0.35">
      <c r="Q82" s="3" t="s">
        <v>1258</v>
      </c>
      <c r="R82" s="4">
        <v>118199.49</v>
      </c>
      <c r="AD82" s="3" t="s">
        <v>522</v>
      </c>
      <c r="AE82" s="4">
        <v>26070319</v>
      </c>
    </row>
    <row r="83" spans="17:31" x14ac:dyDescent="0.35">
      <c r="AD83" s="3" t="s">
        <v>528</v>
      </c>
      <c r="AE83" s="4">
        <v>26014561</v>
      </c>
    </row>
    <row r="84" spans="17:31" x14ac:dyDescent="0.35">
      <c r="AD84" s="3" t="s">
        <v>535</v>
      </c>
      <c r="AE84" s="4">
        <v>25922954</v>
      </c>
    </row>
    <row r="85" spans="17:31" x14ac:dyDescent="0.35">
      <c r="AD85" s="3" t="s">
        <v>541</v>
      </c>
      <c r="AE85" s="4">
        <v>25873467</v>
      </c>
    </row>
    <row r="86" spans="17:31" x14ac:dyDescent="0.35">
      <c r="AD86" s="3" t="s">
        <v>548</v>
      </c>
      <c r="AE86" s="4">
        <v>25788064</v>
      </c>
    </row>
    <row r="87" spans="17:31" x14ac:dyDescent="0.35">
      <c r="AD87" s="3" t="s">
        <v>553</v>
      </c>
      <c r="AE87" s="4">
        <v>25759341</v>
      </c>
    </row>
    <row r="88" spans="17:31" x14ac:dyDescent="0.35">
      <c r="AD88" s="3" t="s">
        <v>559</v>
      </c>
      <c r="AE88" s="4">
        <v>25730460</v>
      </c>
    </row>
    <row r="89" spans="17:31" x14ac:dyDescent="0.35">
      <c r="AD89" s="3" t="s">
        <v>565</v>
      </c>
      <c r="AE89" s="4">
        <v>25696932</v>
      </c>
    </row>
    <row r="90" spans="17:31" x14ac:dyDescent="0.35">
      <c r="AD90" s="3" t="s">
        <v>572</v>
      </c>
      <c r="AE90" s="4">
        <v>25507544</v>
      </c>
    </row>
    <row r="91" spans="17:31" x14ac:dyDescent="0.35">
      <c r="AD91" s="3" t="s">
        <v>578</v>
      </c>
      <c r="AE91" s="4">
        <v>25471481</v>
      </c>
    </row>
    <row r="92" spans="17:31" x14ac:dyDescent="0.35">
      <c r="AD92" s="3" t="s">
        <v>584</v>
      </c>
      <c r="AE92" s="4">
        <v>18990853</v>
      </c>
    </row>
    <row r="93" spans="17:31" x14ac:dyDescent="0.35">
      <c r="AD93" s="3" t="s">
        <v>589</v>
      </c>
      <c r="AE93" s="4">
        <v>18961083</v>
      </c>
    </row>
    <row r="94" spans="17:31" x14ac:dyDescent="0.35">
      <c r="AD94" s="3" t="s">
        <v>595</v>
      </c>
      <c r="AE94" s="4">
        <v>18957669</v>
      </c>
    </row>
    <row r="95" spans="17:31" x14ac:dyDescent="0.35">
      <c r="AD95" s="3" t="s">
        <v>601</v>
      </c>
      <c r="AE95" s="4">
        <v>18817231</v>
      </c>
    </row>
    <row r="96" spans="17:31" x14ac:dyDescent="0.35">
      <c r="AD96" s="3" t="s">
        <v>607</v>
      </c>
      <c r="AE96" s="4">
        <v>18668308</v>
      </c>
    </row>
    <row r="97" spans="30:31" x14ac:dyDescent="0.35">
      <c r="AD97" s="3" t="s">
        <v>614</v>
      </c>
      <c r="AE97" s="4">
        <v>18667205</v>
      </c>
    </row>
    <row r="98" spans="30:31" x14ac:dyDescent="0.35">
      <c r="AD98" s="3" t="s">
        <v>620</v>
      </c>
      <c r="AE98" s="4">
        <v>18606007</v>
      </c>
    </row>
    <row r="99" spans="30:31" x14ac:dyDescent="0.35">
      <c r="AD99" s="3" t="s">
        <v>626</v>
      </c>
      <c r="AE99" s="4">
        <v>18591856</v>
      </c>
    </row>
    <row r="100" spans="30:31" x14ac:dyDescent="0.35">
      <c r="AD100" s="3" t="s">
        <v>632</v>
      </c>
      <c r="AE100" s="4">
        <v>18540898</v>
      </c>
    </row>
    <row r="101" spans="30:31" x14ac:dyDescent="0.35">
      <c r="AD101" s="3" t="s">
        <v>638</v>
      </c>
      <c r="AE101" s="4">
        <v>18536240</v>
      </c>
    </row>
    <row r="102" spans="30:31" x14ac:dyDescent="0.35">
      <c r="AD102" s="3" t="s">
        <v>644</v>
      </c>
      <c r="AE102" s="4">
        <v>14785022</v>
      </c>
    </row>
    <row r="103" spans="30:31" x14ac:dyDescent="0.35">
      <c r="AD103" s="3" t="s">
        <v>651</v>
      </c>
      <c r="AE103" s="4">
        <v>14719301</v>
      </c>
    </row>
    <row r="104" spans="30:31" x14ac:dyDescent="0.35">
      <c r="AD104" s="3" t="s">
        <v>657</v>
      </c>
      <c r="AE104" s="4">
        <v>14681529</v>
      </c>
    </row>
    <row r="105" spans="30:31" x14ac:dyDescent="0.35">
      <c r="AD105" s="3" t="s">
        <v>663</v>
      </c>
      <c r="AE105" s="4">
        <v>14616635</v>
      </c>
    </row>
    <row r="106" spans="30:31" x14ac:dyDescent="0.35">
      <c r="AD106" s="3" t="s">
        <v>669</v>
      </c>
      <c r="AE106" s="4">
        <v>14606826</v>
      </c>
    </row>
    <row r="107" spans="30:31" x14ac:dyDescent="0.35">
      <c r="AD107" s="3" t="s">
        <v>675</v>
      </c>
      <c r="AE107" s="4">
        <v>14570562</v>
      </c>
    </row>
    <row r="108" spans="30:31" x14ac:dyDescent="0.35">
      <c r="AD108" s="3" t="s">
        <v>681</v>
      </c>
      <c r="AE108" s="4">
        <v>14516193</v>
      </c>
    </row>
    <row r="109" spans="30:31" x14ac:dyDescent="0.35">
      <c r="AD109" s="3" t="s">
        <v>688</v>
      </c>
      <c r="AE109" s="4">
        <v>14440722</v>
      </c>
    </row>
    <row r="110" spans="30:31" x14ac:dyDescent="0.35">
      <c r="AD110" s="3" t="s">
        <v>693</v>
      </c>
      <c r="AE110" s="4">
        <v>14425837</v>
      </c>
    </row>
    <row r="111" spans="30:31" x14ac:dyDescent="0.35">
      <c r="AD111" s="3" t="s">
        <v>700</v>
      </c>
      <c r="AE111" s="4">
        <v>14389863</v>
      </c>
    </row>
    <row r="112" spans="30:31" x14ac:dyDescent="0.35">
      <c r="AD112" s="3" t="s">
        <v>706</v>
      </c>
      <c r="AE112" s="4">
        <v>11345859</v>
      </c>
    </row>
    <row r="113" spans="30:31" x14ac:dyDescent="0.35">
      <c r="AD113" s="3" t="s">
        <v>713</v>
      </c>
      <c r="AE113" s="4">
        <v>11304052</v>
      </c>
    </row>
    <row r="114" spans="30:31" x14ac:dyDescent="0.35">
      <c r="AD114" s="3" t="s">
        <v>720</v>
      </c>
      <c r="AE114" s="4">
        <v>11274163</v>
      </c>
    </row>
    <row r="115" spans="30:31" x14ac:dyDescent="0.35">
      <c r="AD115" s="3" t="s">
        <v>726</v>
      </c>
      <c r="AE115" s="4">
        <v>11243721</v>
      </c>
    </row>
    <row r="116" spans="30:31" x14ac:dyDescent="0.35">
      <c r="AD116" s="3" t="s">
        <v>739</v>
      </c>
      <c r="AE116" s="4">
        <v>11184297</v>
      </c>
    </row>
    <row r="117" spans="30:31" x14ac:dyDescent="0.35">
      <c r="AD117" s="3" t="s">
        <v>732</v>
      </c>
      <c r="AE117" s="4">
        <v>11181505</v>
      </c>
    </row>
    <row r="118" spans="30:31" x14ac:dyDescent="0.35">
      <c r="AD118" s="3" t="s">
        <v>752</v>
      </c>
      <c r="AE118" s="4">
        <v>11155057</v>
      </c>
    </row>
    <row r="119" spans="30:31" x14ac:dyDescent="0.35">
      <c r="AD119" s="3" t="s">
        <v>745</v>
      </c>
      <c r="AE119" s="4">
        <v>11144288</v>
      </c>
    </row>
    <row r="120" spans="30:31" x14ac:dyDescent="0.35">
      <c r="AD120" s="3" t="s">
        <v>759</v>
      </c>
      <c r="AE120" s="4">
        <v>11101030</v>
      </c>
    </row>
    <row r="121" spans="30:31" x14ac:dyDescent="0.35">
      <c r="AD121" s="3" t="s">
        <v>765</v>
      </c>
      <c r="AE121" s="4">
        <v>11082865</v>
      </c>
    </row>
    <row r="122" spans="30:31" x14ac:dyDescent="0.35">
      <c r="AD122" s="3" t="s">
        <v>771</v>
      </c>
      <c r="AE122" s="4">
        <v>8799631</v>
      </c>
    </row>
    <row r="123" spans="30:31" x14ac:dyDescent="0.35">
      <c r="AD123" s="3" t="s">
        <v>777</v>
      </c>
      <c r="AE123" s="4">
        <v>8770979</v>
      </c>
    </row>
    <row r="124" spans="30:31" x14ac:dyDescent="0.35">
      <c r="AD124" s="3" t="s">
        <v>783</v>
      </c>
      <c r="AE124" s="4">
        <v>8762689</v>
      </c>
    </row>
    <row r="125" spans="30:31" x14ac:dyDescent="0.35">
      <c r="AD125" s="3" t="s">
        <v>789</v>
      </c>
      <c r="AE125" s="4">
        <v>8757334</v>
      </c>
    </row>
    <row r="126" spans="30:31" x14ac:dyDescent="0.35">
      <c r="AD126" s="3" t="s">
        <v>796</v>
      </c>
      <c r="AE126" s="4">
        <v>8738652</v>
      </c>
    </row>
    <row r="127" spans="30:31" x14ac:dyDescent="0.35">
      <c r="AD127" s="3" t="s">
        <v>802</v>
      </c>
      <c r="AE127" s="4">
        <v>8732769</v>
      </c>
    </row>
    <row r="128" spans="30:31" x14ac:dyDescent="0.35">
      <c r="AD128" s="3" t="s">
        <v>808</v>
      </c>
      <c r="AE128" s="4">
        <v>8712671</v>
      </c>
    </row>
    <row r="129" spans="30:31" x14ac:dyDescent="0.35">
      <c r="AD129" s="3" t="s">
        <v>815</v>
      </c>
      <c r="AE129" s="4">
        <v>8699473</v>
      </c>
    </row>
    <row r="130" spans="30:31" x14ac:dyDescent="0.35">
      <c r="AD130" s="3" t="s">
        <v>821</v>
      </c>
      <c r="AE130" s="4">
        <v>8669853</v>
      </c>
    </row>
    <row r="131" spans="30:31" x14ac:dyDescent="0.35">
      <c r="AD131" s="3" t="s">
        <v>827</v>
      </c>
      <c r="AE131" s="4">
        <v>8662826</v>
      </c>
    </row>
    <row r="132" spans="30:31" x14ac:dyDescent="0.35">
      <c r="AD132" s="3" t="s">
        <v>842</v>
      </c>
      <c r="AE132" s="4">
        <v>6977656</v>
      </c>
    </row>
    <row r="133" spans="30:31" x14ac:dyDescent="0.35">
      <c r="AD133" s="3" t="s">
        <v>848</v>
      </c>
      <c r="AE133" s="4">
        <v>6955385</v>
      </c>
    </row>
    <row r="134" spans="30:31" x14ac:dyDescent="0.35">
      <c r="AD134" s="3" t="s">
        <v>859</v>
      </c>
      <c r="AE134" s="4">
        <v>6916559</v>
      </c>
    </row>
    <row r="135" spans="30:31" x14ac:dyDescent="0.35">
      <c r="AD135" s="3" t="s">
        <v>866</v>
      </c>
      <c r="AE135" s="4">
        <v>6910668</v>
      </c>
    </row>
    <row r="136" spans="30:31" x14ac:dyDescent="0.35">
      <c r="AD136" s="3" t="s">
        <v>872</v>
      </c>
      <c r="AE136" s="4">
        <v>6901123</v>
      </c>
    </row>
    <row r="137" spans="30:31" x14ac:dyDescent="0.35">
      <c r="AD137" s="3" t="s">
        <v>878</v>
      </c>
      <c r="AE137" s="4">
        <v>6897513</v>
      </c>
    </row>
    <row r="138" spans="30:31" x14ac:dyDescent="0.35">
      <c r="AD138" s="3" t="s">
        <v>884</v>
      </c>
      <c r="AE138" s="4">
        <v>6894766</v>
      </c>
    </row>
    <row r="139" spans="30:31" x14ac:dyDescent="0.35">
      <c r="AD139" s="3" t="s">
        <v>890</v>
      </c>
      <c r="AE139" s="4">
        <v>5328756</v>
      </c>
    </row>
    <row r="140" spans="30:31" x14ac:dyDescent="0.35">
      <c r="AD140" s="3" t="s">
        <v>896</v>
      </c>
      <c r="AE140" s="4">
        <v>5322203</v>
      </c>
    </row>
    <row r="141" spans="30:31" x14ac:dyDescent="0.35">
      <c r="AD141" s="3" t="s">
        <v>902</v>
      </c>
      <c r="AE141" s="4">
        <v>5321075</v>
      </c>
    </row>
    <row r="142" spans="30:31" x14ac:dyDescent="0.35">
      <c r="AD142" s="3" t="s">
        <v>908</v>
      </c>
      <c r="AE142" s="4">
        <v>5289262</v>
      </c>
    </row>
    <row r="143" spans="30:31" x14ac:dyDescent="0.35">
      <c r="AD143" s="3" t="s">
        <v>915</v>
      </c>
      <c r="AE143" s="4">
        <v>5279826</v>
      </c>
    </row>
    <row r="144" spans="30:31" x14ac:dyDescent="0.35">
      <c r="AD144" s="3" t="s">
        <v>921</v>
      </c>
      <c r="AE144" s="4">
        <v>5273359</v>
      </c>
    </row>
    <row r="145" spans="30:31" x14ac:dyDescent="0.35">
      <c r="AD145" s="3" t="s">
        <v>926</v>
      </c>
      <c r="AE145" s="4">
        <v>5254151</v>
      </c>
    </row>
    <row r="146" spans="30:31" x14ac:dyDescent="0.35">
      <c r="AD146" s="3" t="s">
        <v>932</v>
      </c>
      <c r="AE146" s="4">
        <v>5249160</v>
      </c>
    </row>
    <row r="147" spans="30:31" x14ac:dyDescent="0.35">
      <c r="AD147" s="3" t="s">
        <v>938</v>
      </c>
      <c r="AE147" s="4">
        <v>5236511</v>
      </c>
    </row>
    <row r="148" spans="30:31" x14ac:dyDescent="0.35">
      <c r="AD148" s="3" t="s">
        <v>945</v>
      </c>
      <c r="AE148" s="4">
        <v>5209385</v>
      </c>
    </row>
    <row r="149" spans="30:31" x14ac:dyDescent="0.35">
      <c r="AD149" s="3" t="s">
        <v>951</v>
      </c>
      <c r="AE149" s="4">
        <v>4203318</v>
      </c>
    </row>
    <row r="150" spans="30:31" x14ac:dyDescent="0.35">
      <c r="AD150" s="3" t="s">
        <v>968</v>
      </c>
      <c r="AE150" s="4">
        <v>4174785</v>
      </c>
    </row>
    <row r="151" spans="30:31" x14ac:dyDescent="0.35">
      <c r="AD151" s="3" t="s">
        <v>975</v>
      </c>
      <c r="AE151" s="4">
        <v>4163952</v>
      </c>
    </row>
    <row r="152" spans="30:31" x14ac:dyDescent="0.35">
      <c r="AD152" s="3" t="s">
        <v>981</v>
      </c>
      <c r="AE152" s="4">
        <v>4148747</v>
      </c>
    </row>
    <row r="153" spans="30:31" x14ac:dyDescent="0.35">
      <c r="AD153" s="3" t="s">
        <v>991</v>
      </c>
      <c r="AE153" s="4">
        <v>4140168</v>
      </c>
    </row>
    <row r="154" spans="30:31" x14ac:dyDescent="0.35">
      <c r="AD154" s="3" t="s">
        <v>998</v>
      </c>
      <c r="AE154" s="4">
        <v>4138839</v>
      </c>
    </row>
    <row r="155" spans="30:31" x14ac:dyDescent="0.35">
      <c r="AD155" s="3" t="s">
        <v>1004</v>
      </c>
      <c r="AE155" s="4">
        <v>4130541</v>
      </c>
    </row>
    <row r="156" spans="30:31" x14ac:dyDescent="0.35">
      <c r="AD156" s="3" t="s">
        <v>1015</v>
      </c>
      <c r="AE156" s="4">
        <v>3346569</v>
      </c>
    </row>
    <row r="157" spans="30:31" x14ac:dyDescent="0.35">
      <c r="AD157" s="3" t="s">
        <v>1022</v>
      </c>
      <c r="AE157" s="4">
        <v>3339357</v>
      </c>
    </row>
    <row r="158" spans="30:31" x14ac:dyDescent="0.35">
      <c r="AD158" s="3" t="s">
        <v>1029</v>
      </c>
      <c r="AE158" s="4">
        <v>3333341</v>
      </c>
    </row>
    <row r="159" spans="30:31" x14ac:dyDescent="0.35">
      <c r="AD159" s="3" t="s">
        <v>1035</v>
      </c>
      <c r="AE159" s="4">
        <v>3321989</v>
      </c>
    </row>
    <row r="160" spans="30:31" x14ac:dyDescent="0.35">
      <c r="AD160" s="3" t="s">
        <v>1041</v>
      </c>
      <c r="AE160" s="4">
        <v>3318891</v>
      </c>
    </row>
    <row r="161" spans="30:31" x14ac:dyDescent="0.35">
      <c r="AD161" s="3" t="s">
        <v>1048</v>
      </c>
      <c r="AE161" s="4">
        <v>3316153</v>
      </c>
    </row>
    <row r="162" spans="30:31" x14ac:dyDescent="0.35">
      <c r="AD162" s="3" t="s">
        <v>1054</v>
      </c>
      <c r="AE162" s="4">
        <v>3296073</v>
      </c>
    </row>
    <row r="163" spans="30:31" x14ac:dyDescent="0.35">
      <c r="AD163" s="3" t="s">
        <v>1061</v>
      </c>
      <c r="AE163" s="4">
        <v>3290369</v>
      </c>
    </row>
    <row r="164" spans="30:31" x14ac:dyDescent="0.35">
      <c r="AD164" s="3" t="s">
        <v>1067</v>
      </c>
      <c r="AE164" s="4">
        <v>3283841</v>
      </c>
    </row>
    <row r="165" spans="30:31" x14ac:dyDescent="0.35">
      <c r="AD165" s="3" t="s">
        <v>1074</v>
      </c>
      <c r="AE165" s="4">
        <v>2780822</v>
      </c>
    </row>
    <row r="166" spans="30:31" x14ac:dyDescent="0.35">
      <c r="AD166" s="3" t="s">
        <v>1081</v>
      </c>
      <c r="AE166" s="4">
        <v>2775444</v>
      </c>
    </row>
    <row r="167" spans="30:31" x14ac:dyDescent="0.35">
      <c r="AD167" s="3" t="s">
        <v>1091</v>
      </c>
      <c r="AE167" s="4">
        <v>2752249</v>
      </c>
    </row>
    <row r="168" spans="30:31" x14ac:dyDescent="0.35">
      <c r="AD168" s="3" t="s">
        <v>1097</v>
      </c>
      <c r="AE168" s="4">
        <v>2740226</v>
      </c>
    </row>
    <row r="169" spans="30:31" x14ac:dyDescent="0.35">
      <c r="AD169" s="3" t="s">
        <v>1104</v>
      </c>
      <c r="AE169" s="4">
        <v>2725328</v>
      </c>
    </row>
    <row r="170" spans="30:31" x14ac:dyDescent="0.35">
      <c r="AD170" s="3" t="s">
        <v>1110</v>
      </c>
      <c r="AE170" s="4">
        <v>2721575</v>
      </c>
    </row>
    <row r="171" spans="30:31" x14ac:dyDescent="0.35">
      <c r="AD171" s="3" t="s">
        <v>1116</v>
      </c>
      <c r="AE171" s="4">
        <v>2718841</v>
      </c>
    </row>
    <row r="172" spans="30:31" x14ac:dyDescent="0.35">
      <c r="AD172" s="3" t="s">
        <v>1123</v>
      </c>
      <c r="AE172" s="4">
        <v>2717949</v>
      </c>
    </row>
    <row r="173" spans="30:31" x14ac:dyDescent="0.35">
      <c r="AD173" s="3" t="s">
        <v>1129</v>
      </c>
      <c r="AE173" s="4">
        <v>2715332</v>
      </c>
    </row>
    <row r="174" spans="30:31" x14ac:dyDescent="0.35">
      <c r="AD174" s="3" t="s">
        <v>1136</v>
      </c>
      <c r="AE174" s="4">
        <v>2203902</v>
      </c>
    </row>
    <row r="175" spans="30:31" x14ac:dyDescent="0.35">
      <c r="AD175" s="3" t="s">
        <v>1142</v>
      </c>
      <c r="AE175" s="4">
        <v>2196829</v>
      </c>
    </row>
    <row r="176" spans="30:31" x14ac:dyDescent="0.35">
      <c r="AD176" s="3" t="s">
        <v>1154</v>
      </c>
      <c r="AE176" s="4">
        <v>2193844</v>
      </c>
    </row>
    <row r="177" spans="30:31" x14ac:dyDescent="0.35">
      <c r="AD177" s="3" t="s">
        <v>1148</v>
      </c>
      <c r="AE177" s="4">
        <v>2192711</v>
      </c>
    </row>
    <row r="178" spans="30:31" x14ac:dyDescent="0.35">
      <c r="AD178" s="3" t="s">
        <v>1184</v>
      </c>
      <c r="AE178" s="4">
        <v>2188825</v>
      </c>
    </row>
    <row r="179" spans="30:31" x14ac:dyDescent="0.35">
      <c r="AD179" s="3" t="s">
        <v>1165</v>
      </c>
      <c r="AE179" s="4">
        <v>2187874</v>
      </c>
    </row>
    <row r="180" spans="30:31" x14ac:dyDescent="0.35">
      <c r="AD180" s="3" t="s">
        <v>1171</v>
      </c>
      <c r="AE180" s="4">
        <v>2179537</v>
      </c>
    </row>
    <row r="181" spans="30:31" x14ac:dyDescent="0.35">
      <c r="AD181" s="3" t="s">
        <v>1177</v>
      </c>
      <c r="AE181" s="4">
        <v>2178852</v>
      </c>
    </row>
    <row r="182" spans="30:31" x14ac:dyDescent="0.35">
      <c r="AD182" s="3" t="s">
        <v>1195</v>
      </c>
      <c r="AE182" s="4">
        <v>1756805</v>
      </c>
    </row>
    <row r="183" spans="30:31" x14ac:dyDescent="0.35">
      <c r="AD183" s="3" t="s">
        <v>1201</v>
      </c>
      <c r="AE183" s="4">
        <v>1755788</v>
      </c>
    </row>
    <row r="184" spans="30:31" x14ac:dyDescent="0.35">
      <c r="AD184" s="3" t="s">
        <v>1207</v>
      </c>
      <c r="AE184" s="4">
        <v>1754868</v>
      </c>
    </row>
    <row r="185" spans="30:31" x14ac:dyDescent="0.35">
      <c r="AD185" s="3" t="s">
        <v>1213</v>
      </c>
      <c r="AE185" s="4">
        <v>1752254</v>
      </c>
    </row>
    <row r="186" spans="30:31" x14ac:dyDescent="0.35">
      <c r="AD186" s="3" t="s">
        <v>1219</v>
      </c>
      <c r="AE186" s="4">
        <v>1747236</v>
      </c>
    </row>
    <row r="187" spans="30:31" x14ac:dyDescent="0.35">
      <c r="AD187" s="3" t="s">
        <v>1225</v>
      </c>
      <c r="AE187" s="4">
        <v>1745226</v>
      </c>
    </row>
    <row r="188" spans="30:31" x14ac:dyDescent="0.35">
      <c r="AD188" s="3" t="s">
        <v>1231</v>
      </c>
      <c r="AE188" s="4">
        <v>1739324</v>
      </c>
    </row>
    <row r="189" spans="30:31" x14ac:dyDescent="0.35">
      <c r="AD189" s="3" t="s">
        <v>1237</v>
      </c>
      <c r="AE189" s="4">
        <v>1738739</v>
      </c>
    </row>
    <row r="190" spans="30:31" x14ac:dyDescent="0.35">
      <c r="AD190" s="3" t="s">
        <v>1243</v>
      </c>
      <c r="AE190" s="4">
        <v>1736200</v>
      </c>
    </row>
    <row r="191" spans="30:31" x14ac:dyDescent="0.35">
      <c r="AD191" s="3" t="s">
        <v>1258</v>
      </c>
      <c r="AE191" s="4">
        <v>3562838567434</v>
      </c>
    </row>
  </sheetData>
  <conditionalFormatting sqref="Q63:Q82">
    <cfRule type="colorScale" priority="2">
      <colorScale>
        <cfvo type="min"/>
        <cfvo type="percentile" val="50"/>
        <cfvo type="max"/>
        <color rgb="FFF8696B"/>
        <color rgb="FFFFEB84"/>
        <color rgb="FF63BE7B"/>
      </colorScale>
    </cfRule>
  </conditionalFormatting>
  <conditionalFormatting sqref="Q63:Q82">
    <cfRule type="colorScale" priority="1">
      <colorScale>
        <cfvo type="min"/>
        <cfvo type="percentile" val="50"/>
        <cfvo type="max"/>
        <color rgb="FF63BE7B"/>
        <color rgb="FFFFEB84"/>
        <color rgb="FFF8696B"/>
      </colorScale>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F027-7E75-48B0-ACA6-9B305B6D4D2D}">
  <dimension ref="D1:V75"/>
  <sheetViews>
    <sheetView tabSelected="1" zoomScale="40" zoomScaleNormal="40" workbookViewId="0">
      <selection activeCell="AI17" sqref="AI17"/>
    </sheetView>
  </sheetViews>
  <sheetFormatPr defaultRowHeight="14.5" x14ac:dyDescent="0.35"/>
  <cols>
    <col min="11" max="11" width="8.7265625" customWidth="1"/>
    <col min="12" max="12" width="7.54296875" customWidth="1"/>
    <col min="13" max="13" width="20.36328125" bestFit="1" customWidth="1"/>
    <col min="14" max="14" width="25.08984375" bestFit="1" customWidth="1"/>
    <col min="15" max="16" width="2.54296875" customWidth="1"/>
    <col min="18" max="18" width="20.08984375" customWidth="1"/>
    <col min="19" max="19" width="7.08984375" customWidth="1"/>
    <col min="22" max="22" width="19.1796875" customWidth="1"/>
  </cols>
  <sheetData>
    <row r="1" spans="4:22" ht="69" customHeight="1" x14ac:dyDescent="0.35">
      <c r="D1" s="6"/>
      <c r="E1" s="6"/>
      <c r="F1" s="6"/>
      <c r="G1" s="6"/>
      <c r="H1" s="6"/>
      <c r="I1" s="6"/>
      <c r="J1" s="6"/>
      <c r="K1" s="6"/>
      <c r="L1" s="6"/>
      <c r="M1" s="6"/>
      <c r="N1" s="6"/>
      <c r="O1" s="6"/>
      <c r="P1" s="6"/>
      <c r="Q1" s="6"/>
      <c r="R1" s="6"/>
      <c r="S1" s="6"/>
      <c r="T1" s="6"/>
      <c r="U1" s="6"/>
      <c r="V1" s="6"/>
    </row>
    <row r="2" spans="4:22" x14ac:dyDescent="0.35">
      <c r="D2" s="6"/>
      <c r="E2" s="6"/>
      <c r="F2" s="6"/>
      <c r="G2" s="6"/>
      <c r="H2" s="6"/>
      <c r="I2" s="6"/>
      <c r="J2" s="6"/>
      <c r="K2" s="6"/>
      <c r="L2" s="6"/>
      <c r="M2" s="6"/>
      <c r="N2" s="6"/>
      <c r="O2" s="6"/>
      <c r="P2" s="6"/>
      <c r="Q2" s="6"/>
      <c r="R2" s="6"/>
      <c r="S2" s="6"/>
      <c r="T2" s="6"/>
      <c r="U2" s="6"/>
      <c r="V2" s="6"/>
    </row>
    <row r="3" spans="4:22" x14ac:dyDescent="0.35">
      <c r="D3" s="6"/>
      <c r="E3" s="6"/>
      <c r="F3" s="6"/>
      <c r="G3" s="6"/>
      <c r="H3" s="6"/>
      <c r="I3" s="6"/>
      <c r="J3" s="6"/>
      <c r="K3" s="6"/>
      <c r="L3" s="6"/>
      <c r="M3" s="6"/>
      <c r="N3" s="6"/>
      <c r="O3" s="6"/>
      <c r="P3" s="6"/>
      <c r="Q3" s="6"/>
      <c r="R3" s="6"/>
      <c r="S3" s="6"/>
      <c r="T3" s="6"/>
      <c r="U3" s="6"/>
      <c r="V3" s="6"/>
    </row>
    <row r="4" spans="4:22" x14ac:dyDescent="0.35">
      <c r="D4" s="6"/>
      <c r="E4" s="6"/>
      <c r="F4" s="6"/>
      <c r="G4" s="6"/>
      <c r="H4" s="6"/>
      <c r="I4" s="6"/>
      <c r="J4" s="6"/>
      <c r="K4" s="6"/>
      <c r="L4" s="6"/>
      <c r="M4" s="6"/>
      <c r="N4" s="6"/>
      <c r="O4" s="6"/>
      <c r="P4" s="6"/>
      <c r="Q4" s="6"/>
      <c r="R4" s="6"/>
      <c r="S4" s="6"/>
      <c r="T4" s="6"/>
      <c r="U4" s="6"/>
      <c r="V4" s="6"/>
    </row>
    <row r="5" spans="4:22" x14ac:dyDescent="0.35">
      <c r="D5" s="6"/>
      <c r="E5" s="6"/>
      <c r="F5" s="6"/>
      <c r="G5" s="6"/>
      <c r="H5" s="6"/>
      <c r="I5" s="6"/>
      <c r="J5" s="6"/>
      <c r="K5" s="6"/>
      <c r="L5" s="6"/>
      <c r="M5" s="6"/>
      <c r="N5" s="6"/>
      <c r="O5" s="6"/>
      <c r="P5" s="6"/>
      <c r="Q5" s="6"/>
      <c r="R5" s="6"/>
      <c r="S5" s="6"/>
      <c r="T5" s="6"/>
      <c r="U5" s="6"/>
      <c r="V5" s="6"/>
    </row>
    <row r="6" spans="4:22" x14ac:dyDescent="0.35">
      <c r="D6" s="6"/>
      <c r="E6" s="6"/>
      <c r="F6" s="6"/>
      <c r="G6" s="6"/>
      <c r="H6" s="6"/>
      <c r="I6" s="6"/>
      <c r="J6" s="6"/>
      <c r="K6" s="6"/>
      <c r="L6" s="6"/>
      <c r="M6" s="6"/>
      <c r="N6" s="6"/>
      <c r="O6" s="6"/>
      <c r="P6" s="6"/>
      <c r="Q6" s="6"/>
      <c r="R6" s="6"/>
      <c r="S6" s="6"/>
      <c r="T6" s="6"/>
      <c r="U6" s="6"/>
      <c r="V6" s="6"/>
    </row>
    <row r="7" spans="4:22" x14ac:dyDescent="0.35">
      <c r="D7" s="6"/>
      <c r="E7" s="6"/>
      <c r="F7" s="6"/>
      <c r="G7" s="6"/>
      <c r="H7" s="6"/>
      <c r="I7" s="6"/>
      <c r="J7" s="6"/>
      <c r="K7" s="6"/>
      <c r="L7" s="6"/>
      <c r="M7" s="6"/>
      <c r="N7" s="6"/>
      <c r="O7" s="6"/>
      <c r="P7" s="6"/>
      <c r="Q7" s="6"/>
      <c r="R7" s="6"/>
      <c r="S7" s="6"/>
      <c r="T7" s="6"/>
      <c r="U7" s="6"/>
      <c r="V7" s="6"/>
    </row>
    <row r="8" spans="4:22" x14ac:dyDescent="0.35">
      <c r="D8" s="6"/>
      <c r="E8" s="6"/>
      <c r="F8" s="6"/>
      <c r="G8" s="6"/>
      <c r="H8" s="6"/>
      <c r="I8" s="6"/>
      <c r="J8" s="6"/>
      <c r="K8" s="6"/>
      <c r="L8" s="6"/>
      <c r="M8" s="6"/>
      <c r="N8" s="6"/>
      <c r="O8" s="6"/>
      <c r="P8" s="6"/>
      <c r="Q8" s="6"/>
      <c r="R8" s="6"/>
      <c r="S8" s="6"/>
      <c r="T8" s="6"/>
      <c r="U8" s="6"/>
      <c r="V8" s="6"/>
    </row>
    <row r="9" spans="4:22" x14ac:dyDescent="0.35">
      <c r="D9" s="6"/>
      <c r="E9" s="6"/>
      <c r="F9" s="6"/>
      <c r="G9" s="6"/>
      <c r="H9" s="6"/>
      <c r="I9" s="6"/>
      <c r="J9" s="6"/>
      <c r="K9" s="6"/>
      <c r="L9" s="6"/>
      <c r="M9" s="6"/>
      <c r="N9" s="6"/>
      <c r="O9" s="6"/>
      <c r="P9" s="6"/>
      <c r="Q9" s="6"/>
      <c r="R9" s="6"/>
      <c r="S9" s="6"/>
      <c r="T9" s="6"/>
      <c r="U9" s="6"/>
      <c r="V9" s="6"/>
    </row>
    <row r="10" spans="4:22" x14ac:dyDescent="0.35">
      <c r="D10" s="6"/>
      <c r="E10" s="6"/>
      <c r="F10" s="6"/>
      <c r="G10" s="6"/>
      <c r="H10" s="6"/>
      <c r="I10" s="6"/>
      <c r="J10" s="6"/>
      <c r="K10" s="6"/>
      <c r="L10" s="6"/>
      <c r="M10" s="6"/>
      <c r="N10" s="6"/>
      <c r="O10" s="6"/>
      <c r="P10" s="6"/>
      <c r="Q10" s="6"/>
      <c r="R10" s="6"/>
      <c r="S10" s="6"/>
      <c r="T10" s="6"/>
      <c r="U10" s="6"/>
      <c r="V10" s="6"/>
    </row>
    <row r="11" spans="4:22" x14ac:dyDescent="0.35">
      <c r="D11" s="6"/>
      <c r="E11" s="6"/>
      <c r="F11" s="6"/>
      <c r="G11" s="6"/>
      <c r="H11" s="6"/>
      <c r="I11" s="6"/>
      <c r="J11" s="6"/>
      <c r="K11" s="6"/>
      <c r="L11" s="6"/>
      <c r="M11" s="6"/>
      <c r="N11" s="6"/>
      <c r="O11" s="6"/>
      <c r="P11" s="6"/>
      <c r="Q11" s="6"/>
      <c r="R11" s="6"/>
      <c r="S11" s="6"/>
      <c r="T11" s="6"/>
      <c r="U11" s="6"/>
      <c r="V11" s="6"/>
    </row>
    <row r="12" spans="4:22" x14ac:dyDescent="0.35">
      <c r="D12" s="6"/>
      <c r="E12" s="6"/>
      <c r="F12" s="6"/>
      <c r="G12" s="6"/>
      <c r="H12" s="6"/>
      <c r="I12" s="6"/>
      <c r="J12" s="6"/>
      <c r="K12" s="6"/>
      <c r="L12" s="6"/>
      <c r="M12" s="6"/>
      <c r="N12" s="6"/>
      <c r="O12" s="6"/>
      <c r="P12" s="6"/>
      <c r="Q12" s="6"/>
      <c r="R12" s="6"/>
      <c r="S12" s="6"/>
      <c r="T12" s="6"/>
      <c r="U12" s="6"/>
      <c r="V12" s="6"/>
    </row>
    <row r="13" spans="4:22" x14ac:dyDescent="0.35">
      <c r="D13" s="6"/>
      <c r="E13" s="6"/>
      <c r="F13" s="6"/>
      <c r="G13" s="6"/>
      <c r="H13" s="6"/>
      <c r="I13" s="6"/>
      <c r="J13" s="6"/>
      <c r="K13" s="6"/>
      <c r="L13" s="6"/>
      <c r="M13" s="6"/>
      <c r="N13" s="6"/>
      <c r="O13" s="6"/>
      <c r="P13" s="6"/>
      <c r="Q13" s="6"/>
      <c r="R13" s="6"/>
      <c r="S13" s="6"/>
      <c r="T13" s="6"/>
      <c r="U13" s="6"/>
      <c r="V13" s="6"/>
    </row>
    <row r="14" spans="4:22" x14ac:dyDescent="0.35">
      <c r="D14" s="6"/>
      <c r="E14" s="6"/>
      <c r="F14" s="6"/>
      <c r="G14" s="6"/>
      <c r="H14" s="6"/>
      <c r="I14" s="6"/>
      <c r="J14" s="6"/>
      <c r="K14" s="6"/>
      <c r="L14" s="6"/>
      <c r="M14" s="6"/>
      <c r="N14" s="6"/>
      <c r="O14" s="6"/>
      <c r="P14" s="6"/>
      <c r="Q14" s="6"/>
      <c r="R14" s="6"/>
      <c r="S14" s="6"/>
      <c r="T14" s="6"/>
      <c r="U14" s="6"/>
      <c r="V14" s="6"/>
    </row>
    <row r="15" spans="4:22" x14ac:dyDescent="0.35">
      <c r="D15" s="6"/>
      <c r="E15" s="6"/>
      <c r="F15" s="6"/>
      <c r="G15" s="6"/>
      <c r="H15" s="6"/>
      <c r="I15" s="6"/>
      <c r="J15" s="6"/>
      <c r="K15" s="6"/>
      <c r="L15" s="6"/>
      <c r="M15" s="6"/>
      <c r="N15" s="6"/>
      <c r="O15" s="6"/>
      <c r="P15" s="6"/>
      <c r="Q15" s="6"/>
      <c r="R15" s="6"/>
      <c r="S15" s="6"/>
      <c r="T15" s="6"/>
      <c r="U15" s="6"/>
      <c r="V15" s="6"/>
    </row>
    <row r="16" spans="4:22" x14ac:dyDescent="0.35">
      <c r="D16" s="6"/>
      <c r="E16" s="6"/>
      <c r="F16" s="6"/>
      <c r="G16" s="6"/>
      <c r="H16" s="6"/>
      <c r="I16" s="6"/>
      <c r="J16" s="6"/>
      <c r="K16" s="6"/>
      <c r="L16" s="6"/>
      <c r="M16" s="6"/>
      <c r="N16" s="6"/>
      <c r="O16" s="6"/>
      <c r="P16" s="6"/>
      <c r="Q16" s="6"/>
      <c r="R16" s="6"/>
      <c r="S16" s="6"/>
      <c r="T16" s="6"/>
      <c r="U16" s="6"/>
      <c r="V16" s="6"/>
    </row>
    <row r="17" spans="4:22" x14ac:dyDescent="0.35">
      <c r="D17" s="6"/>
      <c r="E17" s="6"/>
      <c r="F17" s="6"/>
      <c r="G17" s="6"/>
      <c r="H17" s="6"/>
      <c r="I17" s="6"/>
      <c r="J17" s="6"/>
      <c r="K17" s="6"/>
      <c r="L17" s="6"/>
      <c r="M17" s="6"/>
      <c r="N17" s="6"/>
      <c r="O17" s="6"/>
      <c r="P17" s="6"/>
      <c r="Q17" s="6"/>
      <c r="R17" s="6"/>
      <c r="S17" s="6"/>
      <c r="T17" s="6"/>
      <c r="U17" s="6"/>
      <c r="V17" s="6"/>
    </row>
    <row r="18" spans="4:22" x14ac:dyDescent="0.35">
      <c r="D18" s="6"/>
      <c r="E18" s="6"/>
      <c r="F18" s="6"/>
      <c r="G18" s="6"/>
      <c r="H18" s="6"/>
      <c r="I18" s="6"/>
      <c r="J18" s="6"/>
      <c r="K18" s="6"/>
      <c r="L18" s="6"/>
      <c r="M18" s="6"/>
      <c r="N18" s="6"/>
      <c r="O18" s="6"/>
      <c r="P18" s="6"/>
      <c r="Q18" s="6"/>
      <c r="R18" s="6"/>
      <c r="S18" s="6"/>
      <c r="T18" s="6"/>
      <c r="U18" s="6"/>
      <c r="V18" s="6"/>
    </row>
    <row r="19" spans="4:22" x14ac:dyDescent="0.35">
      <c r="D19" s="6"/>
      <c r="E19" s="6"/>
      <c r="F19" s="6"/>
      <c r="G19" s="6"/>
      <c r="H19" s="6"/>
      <c r="I19" s="6"/>
      <c r="J19" s="6"/>
      <c r="K19" s="6"/>
      <c r="L19" s="6"/>
      <c r="M19" s="6"/>
      <c r="N19" s="6"/>
      <c r="O19" s="6"/>
      <c r="P19" s="6"/>
      <c r="Q19" s="6"/>
      <c r="R19" s="6"/>
      <c r="S19" s="6"/>
      <c r="T19" s="6"/>
      <c r="U19" s="6"/>
      <c r="V19" s="6"/>
    </row>
    <row r="20" spans="4:22" x14ac:dyDescent="0.35">
      <c r="D20" s="6"/>
      <c r="E20" s="6"/>
      <c r="F20" s="6"/>
      <c r="G20" s="6"/>
      <c r="H20" s="6"/>
      <c r="I20" s="6"/>
      <c r="J20" s="6"/>
      <c r="K20" s="6"/>
      <c r="L20" s="6"/>
      <c r="M20" s="6"/>
      <c r="N20" s="6"/>
      <c r="O20" s="6"/>
      <c r="P20" s="6"/>
      <c r="Q20" s="6"/>
      <c r="R20" s="6"/>
      <c r="S20" s="6"/>
      <c r="T20" s="6"/>
      <c r="U20" s="6"/>
      <c r="V20" s="6"/>
    </row>
    <row r="21" spans="4:22" x14ac:dyDescent="0.35">
      <c r="D21" s="6"/>
      <c r="E21" s="6"/>
      <c r="F21" s="6"/>
      <c r="G21" s="6"/>
      <c r="H21" s="6"/>
      <c r="I21" s="6"/>
      <c r="J21" s="6"/>
      <c r="K21" s="6"/>
      <c r="L21" s="6"/>
      <c r="M21" s="6"/>
      <c r="N21" s="6"/>
      <c r="O21" s="6"/>
      <c r="P21" s="6"/>
      <c r="Q21" s="6"/>
      <c r="R21" s="6"/>
      <c r="S21" s="6"/>
      <c r="T21" s="6"/>
      <c r="U21" s="6"/>
      <c r="V21" s="6"/>
    </row>
    <row r="22" spans="4:22" x14ac:dyDescent="0.35">
      <c r="D22" s="6"/>
      <c r="E22" s="6"/>
      <c r="F22" s="6"/>
      <c r="G22" s="6"/>
      <c r="H22" s="6"/>
      <c r="I22" s="6"/>
      <c r="J22" s="6"/>
      <c r="K22" s="6"/>
      <c r="L22" s="6"/>
      <c r="M22" s="6"/>
      <c r="N22" s="6"/>
      <c r="O22" s="6"/>
      <c r="P22" s="6"/>
      <c r="Q22" s="6"/>
      <c r="R22" s="6"/>
      <c r="S22" s="6"/>
      <c r="T22" s="6"/>
      <c r="U22" s="6"/>
      <c r="V22" s="6"/>
    </row>
    <row r="23" spans="4:22" x14ac:dyDescent="0.35">
      <c r="D23" s="6"/>
      <c r="E23" s="6"/>
      <c r="F23" s="6"/>
      <c r="G23" s="6"/>
      <c r="H23" s="6"/>
      <c r="I23" s="6"/>
      <c r="J23" s="6"/>
      <c r="K23" s="6"/>
      <c r="L23" s="6"/>
      <c r="M23" s="6"/>
      <c r="N23" s="6"/>
      <c r="O23" s="6"/>
      <c r="P23" s="6"/>
      <c r="Q23" s="6"/>
      <c r="R23" s="6"/>
      <c r="S23" s="6"/>
      <c r="T23" s="6"/>
      <c r="U23" s="6"/>
      <c r="V23" s="6"/>
    </row>
    <row r="24" spans="4:22" x14ac:dyDescent="0.35">
      <c r="D24" s="6"/>
      <c r="E24" s="6"/>
      <c r="F24" s="6"/>
      <c r="G24" s="6"/>
      <c r="H24" s="6"/>
      <c r="I24" s="6"/>
      <c r="J24" s="6"/>
      <c r="K24" s="6"/>
      <c r="L24" s="6"/>
      <c r="M24" s="6"/>
      <c r="N24" s="6"/>
      <c r="O24" s="6"/>
      <c r="P24" s="6"/>
      <c r="Q24" s="6"/>
      <c r="R24" s="6"/>
      <c r="S24" s="6"/>
      <c r="T24" s="6"/>
      <c r="U24" s="6"/>
      <c r="V24" s="6"/>
    </row>
    <row r="25" spans="4:22" x14ac:dyDescent="0.35">
      <c r="D25" s="6"/>
      <c r="E25" s="6"/>
      <c r="F25" s="6"/>
      <c r="G25" s="6"/>
      <c r="H25" s="6"/>
      <c r="I25" s="6"/>
      <c r="J25" s="6"/>
      <c r="K25" s="6"/>
      <c r="L25" s="6"/>
      <c r="M25" s="6"/>
      <c r="N25" s="6"/>
      <c r="O25" s="6"/>
      <c r="P25" s="6"/>
      <c r="Q25" s="6"/>
      <c r="R25" s="6"/>
      <c r="S25" s="6"/>
      <c r="T25" s="6"/>
      <c r="U25" s="6"/>
      <c r="V25" s="6"/>
    </row>
    <row r="26" spans="4:22" x14ac:dyDescent="0.35">
      <c r="D26" s="6"/>
      <c r="E26" s="6"/>
      <c r="F26" s="6"/>
      <c r="G26" s="6"/>
      <c r="H26" s="6"/>
      <c r="I26" s="6"/>
      <c r="J26" s="6"/>
      <c r="K26" s="6"/>
      <c r="L26" s="6"/>
      <c r="M26" s="6"/>
      <c r="N26" s="6"/>
      <c r="O26" s="6"/>
      <c r="P26" s="6"/>
      <c r="Q26" s="6"/>
      <c r="R26" s="6"/>
      <c r="S26" s="6"/>
      <c r="T26" s="6"/>
      <c r="U26" s="6"/>
      <c r="V26" s="6"/>
    </row>
    <row r="27" spans="4:22" x14ac:dyDescent="0.35">
      <c r="D27" s="6"/>
      <c r="E27" s="6"/>
      <c r="F27" s="6"/>
      <c r="G27" s="6"/>
      <c r="H27" s="6"/>
      <c r="I27" s="6"/>
      <c r="J27" s="6"/>
      <c r="K27" s="6"/>
      <c r="L27" s="6"/>
      <c r="M27" s="6"/>
      <c r="N27" s="6"/>
      <c r="O27" s="6"/>
      <c r="P27" s="6"/>
      <c r="Q27" s="6"/>
      <c r="R27" s="6"/>
      <c r="S27" s="6"/>
      <c r="T27" s="6"/>
      <c r="U27" s="6"/>
      <c r="V27" s="6"/>
    </row>
    <row r="28" spans="4:22" x14ac:dyDescent="0.35">
      <c r="D28" s="6"/>
      <c r="E28" s="6"/>
      <c r="F28" s="6"/>
      <c r="G28" s="6"/>
      <c r="H28" s="6"/>
      <c r="I28" s="6"/>
      <c r="J28" s="6"/>
      <c r="K28" s="6"/>
      <c r="L28" s="6"/>
      <c r="M28" s="6"/>
      <c r="N28" s="6"/>
      <c r="O28" s="6"/>
      <c r="P28" s="6"/>
      <c r="Q28" s="6"/>
      <c r="R28" s="6"/>
      <c r="S28" s="6"/>
      <c r="T28" s="6"/>
      <c r="U28" s="6"/>
      <c r="V28" s="6"/>
    </row>
    <row r="29" spans="4:22" x14ac:dyDescent="0.35">
      <c r="D29" s="6"/>
      <c r="E29" s="6"/>
      <c r="F29" s="6"/>
      <c r="G29" s="6"/>
      <c r="H29" s="6"/>
      <c r="I29" s="6"/>
      <c r="J29" s="6"/>
      <c r="K29" s="6"/>
      <c r="L29" s="6"/>
      <c r="M29" s="2" t="s">
        <v>0</v>
      </c>
      <c r="N29" t="s">
        <v>1259</v>
      </c>
      <c r="O29" s="6"/>
      <c r="P29" s="6"/>
      <c r="Q29" s="6"/>
      <c r="R29" s="6"/>
      <c r="S29" s="6"/>
      <c r="T29" s="6"/>
      <c r="U29" s="6"/>
      <c r="V29" s="6"/>
    </row>
    <row r="30" spans="4:22" x14ac:dyDescent="0.35">
      <c r="D30" s="6"/>
      <c r="E30" s="6"/>
      <c r="F30" s="6"/>
      <c r="G30" s="6"/>
      <c r="H30" s="6"/>
      <c r="I30" s="6"/>
      <c r="J30" s="6"/>
      <c r="K30" s="6"/>
      <c r="L30" s="6"/>
      <c r="M30" s="3" t="s">
        <v>7</v>
      </c>
      <c r="N30" s="4">
        <v>112396.23</v>
      </c>
      <c r="O30" s="6"/>
      <c r="P30" s="6"/>
      <c r="Q30" s="6"/>
      <c r="R30" s="6"/>
      <c r="S30" s="6"/>
      <c r="T30" s="6"/>
      <c r="U30" s="6"/>
      <c r="V30" s="6"/>
    </row>
    <row r="31" spans="4:22" x14ac:dyDescent="0.35">
      <c r="D31" s="6"/>
      <c r="E31" s="6"/>
      <c r="F31" s="6"/>
      <c r="G31" s="6"/>
      <c r="H31" s="6"/>
      <c r="I31" s="6"/>
      <c r="J31" s="6"/>
      <c r="K31" s="6"/>
      <c r="L31" s="6"/>
      <c r="M31" s="5" t="s">
        <v>8</v>
      </c>
      <c r="N31" s="4">
        <v>112396.23</v>
      </c>
      <c r="O31" s="6"/>
      <c r="P31" s="6"/>
      <c r="Q31" s="6"/>
      <c r="R31" s="6"/>
      <c r="S31" s="6"/>
      <c r="T31" s="6"/>
      <c r="U31" s="6"/>
      <c r="V31" s="6"/>
    </row>
    <row r="32" spans="4:22" x14ac:dyDescent="0.35">
      <c r="D32" s="6"/>
      <c r="E32" s="6"/>
      <c r="F32" s="6"/>
      <c r="G32" s="6"/>
      <c r="H32" s="6"/>
      <c r="I32" s="6"/>
      <c r="J32" s="6"/>
      <c r="K32" s="6"/>
      <c r="L32" s="6"/>
      <c r="M32" s="3" t="s">
        <v>14</v>
      </c>
      <c r="N32" s="4">
        <v>4631.6899999999996</v>
      </c>
      <c r="O32" s="6"/>
      <c r="P32" s="6"/>
      <c r="Q32" s="6"/>
      <c r="R32" s="6"/>
      <c r="S32" s="6"/>
      <c r="T32" s="6"/>
      <c r="U32" s="6"/>
      <c r="V32" s="6"/>
    </row>
    <row r="33" spans="4:22" x14ac:dyDescent="0.35">
      <c r="D33" s="6"/>
      <c r="E33" s="6"/>
      <c r="F33" s="6"/>
      <c r="G33" s="6"/>
      <c r="H33" s="6"/>
      <c r="I33" s="6"/>
      <c r="J33" s="6"/>
      <c r="K33" s="6"/>
      <c r="L33" s="6"/>
      <c r="M33" s="5" t="s">
        <v>15</v>
      </c>
      <c r="N33" s="4">
        <v>4631.6899999999996</v>
      </c>
      <c r="O33" s="6"/>
      <c r="P33" s="6"/>
      <c r="Q33" s="6"/>
      <c r="R33" s="6"/>
      <c r="S33" s="6"/>
      <c r="T33" s="6"/>
      <c r="U33" s="6"/>
      <c r="V33" s="6"/>
    </row>
    <row r="34" spans="4:22" x14ac:dyDescent="0.35">
      <c r="D34" s="6"/>
      <c r="E34" s="6"/>
      <c r="F34" s="6"/>
      <c r="G34" s="6"/>
      <c r="H34" s="6"/>
      <c r="I34" s="6"/>
      <c r="J34" s="6"/>
      <c r="K34" s="6"/>
      <c r="L34" s="6"/>
      <c r="M34" s="3" t="s">
        <v>34</v>
      </c>
      <c r="N34" s="4">
        <v>864.91</v>
      </c>
      <c r="O34" s="6"/>
      <c r="P34" s="6"/>
      <c r="Q34" s="6"/>
      <c r="R34" s="6"/>
      <c r="S34" s="6"/>
      <c r="T34" s="6"/>
      <c r="U34" s="6"/>
      <c r="V34" s="6"/>
    </row>
    <row r="35" spans="4:22" x14ac:dyDescent="0.35">
      <c r="D35" s="6"/>
      <c r="E35" s="6"/>
      <c r="F35" s="6"/>
      <c r="G35" s="6"/>
      <c r="H35" s="6"/>
      <c r="I35" s="6"/>
      <c r="J35" s="6"/>
      <c r="K35" s="6"/>
      <c r="L35" s="6"/>
      <c r="M35" s="5" t="s">
        <v>34</v>
      </c>
      <c r="N35" s="4">
        <v>864.91</v>
      </c>
      <c r="O35" s="6"/>
      <c r="P35" s="6"/>
      <c r="Q35" s="6"/>
      <c r="R35" s="6"/>
      <c r="S35" s="6"/>
      <c r="T35" s="6"/>
      <c r="U35" s="6"/>
      <c r="V35" s="6"/>
    </row>
    <row r="36" spans="4:22" x14ac:dyDescent="0.35">
      <c r="D36" s="6"/>
      <c r="E36" s="6"/>
      <c r="F36" s="6"/>
      <c r="G36" s="6"/>
      <c r="H36" s="6"/>
      <c r="I36" s="6"/>
      <c r="J36" s="6"/>
      <c r="K36" s="6"/>
      <c r="L36" s="6"/>
      <c r="M36" s="3" t="s">
        <v>40</v>
      </c>
      <c r="N36" s="4">
        <v>208.97</v>
      </c>
      <c r="O36" s="6"/>
      <c r="P36" s="6"/>
      <c r="Q36" s="6"/>
      <c r="R36" s="6"/>
      <c r="S36" s="6"/>
      <c r="T36" s="6"/>
      <c r="U36" s="6"/>
      <c r="V36" s="6"/>
    </row>
    <row r="37" spans="4:22" x14ac:dyDescent="0.35">
      <c r="D37" s="6"/>
      <c r="E37" s="6"/>
      <c r="F37" s="6"/>
      <c r="G37" s="6"/>
      <c r="H37" s="6"/>
      <c r="I37" s="6"/>
      <c r="J37" s="6"/>
      <c r="K37" s="6"/>
      <c r="L37" s="6"/>
      <c r="M37" s="3" t="s">
        <v>81</v>
      </c>
      <c r="N37" s="4">
        <v>42.45</v>
      </c>
      <c r="O37" s="6"/>
      <c r="P37" s="6"/>
      <c r="Q37" s="6"/>
      <c r="R37" s="6"/>
      <c r="S37" s="6"/>
      <c r="T37" s="6"/>
      <c r="U37" s="6"/>
      <c r="V37" s="6"/>
    </row>
    <row r="38" spans="4:22" x14ac:dyDescent="0.35">
      <c r="D38" s="6"/>
      <c r="E38" s="6"/>
      <c r="F38" s="6"/>
      <c r="G38" s="6"/>
      <c r="H38" s="6"/>
      <c r="I38" s="6"/>
      <c r="J38" s="6"/>
      <c r="K38" s="6"/>
      <c r="L38" s="6"/>
      <c r="M38" s="5" t="s">
        <v>82</v>
      </c>
      <c r="N38" s="4">
        <v>42.45</v>
      </c>
      <c r="O38" s="6"/>
      <c r="P38" s="6"/>
      <c r="Q38" s="6"/>
      <c r="R38" s="6"/>
      <c r="S38" s="6"/>
      <c r="T38" s="6"/>
      <c r="U38" s="6"/>
      <c r="V38" s="6"/>
    </row>
    <row r="39" spans="4:22" x14ac:dyDescent="0.35">
      <c r="D39" s="6"/>
      <c r="E39" s="6"/>
      <c r="F39" s="6"/>
      <c r="G39" s="6"/>
      <c r="H39" s="6"/>
      <c r="I39" s="6"/>
      <c r="J39" s="6"/>
      <c r="K39" s="6"/>
      <c r="L39" s="6"/>
      <c r="M39" s="3" t="s">
        <v>638</v>
      </c>
      <c r="N39" s="4">
        <v>16.850000000000001</v>
      </c>
      <c r="O39" s="6"/>
      <c r="P39" s="6"/>
      <c r="Q39" s="6"/>
      <c r="R39" s="6"/>
      <c r="S39" s="6"/>
      <c r="T39" s="6"/>
      <c r="U39" s="6"/>
      <c r="V39" s="6"/>
    </row>
    <row r="40" spans="4:22" x14ac:dyDescent="0.35">
      <c r="D40" s="6"/>
      <c r="E40" s="6"/>
      <c r="F40" s="6"/>
      <c r="G40" s="6"/>
      <c r="H40" s="6"/>
      <c r="I40" s="6"/>
      <c r="J40" s="6"/>
      <c r="K40" s="6"/>
      <c r="L40" s="6"/>
      <c r="M40" s="5" t="s">
        <v>639</v>
      </c>
      <c r="N40" s="4">
        <v>16.850000000000001</v>
      </c>
      <c r="O40" s="6"/>
      <c r="P40" s="6"/>
      <c r="Q40" s="6"/>
      <c r="R40" s="6"/>
      <c r="S40" s="6"/>
      <c r="T40" s="6"/>
      <c r="U40" s="6"/>
      <c r="V40" s="6"/>
    </row>
    <row r="41" spans="4:22" x14ac:dyDescent="0.35">
      <c r="D41" s="6"/>
      <c r="E41" s="6"/>
      <c r="F41" s="6"/>
      <c r="G41" s="6"/>
      <c r="H41" s="6"/>
      <c r="I41" s="6"/>
      <c r="J41" s="6"/>
      <c r="K41" s="6"/>
      <c r="L41" s="6"/>
      <c r="M41" s="3" t="s">
        <v>365</v>
      </c>
      <c r="N41" s="4">
        <v>11.79</v>
      </c>
      <c r="O41" s="6"/>
      <c r="P41" s="6"/>
      <c r="Q41" s="6"/>
      <c r="R41" s="6"/>
      <c r="S41" s="6"/>
      <c r="T41" s="6"/>
      <c r="U41" s="6"/>
      <c r="V41" s="6"/>
    </row>
    <row r="42" spans="4:22" x14ac:dyDescent="0.35">
      <c r="D42" s="6"/>
      <c r="E42" s="6"/>
      <c r="F42" s="6"/>
      <c r="G42" s="6"/>
      <c r="H42" s="6"/>
      <c r="I42" s="6"/>
      <c r="J42" s="6"/>
      <c r="K42" s="6"/>
      <c r="L42" s="6"/>
      <c r="M42" s="5" t="s">
        <v>366</v>
      </c>
      <c r="N42" s="4">
        <v>11.79</v>
      </c>
      <c r="O42" s="6"/>
      <c r="P42" s="6"/>
      <c r="Q42" s="6"/>
      <c r="R42" s="6"/>
      <c r="S42" s="6"/>
      <c r="T42" s="6"/>
      <c r="U42" s="6"/>
      <c r="V42" s="6"/>
    </row>
    <row r="43" spans="4:22" x14ac:dyDescent="0.35">
      <c r="D43" s="6"/>
      <c r="E43" s="6"/>
      <c r="F43" s="6"/>
      <c r="G43" s="6"/>
      <c r="H43" s="6"/>
      <c r="I43" s="6"/>
      <c r="J43" s="6"/>
      <c r="K43" s="6"/>
      <c r="L43" s="6"/>
      <c r="M43" s="3" t="s">
        <v>378</v>
      </c>
      <c r="N43" s="4">
        <v>10.119999999999999</v>
      </c>
      <c r="O43" s="6"/>
      <c r="P43" s="6"/>
      <c r="Q43" s="6"/>
      <c r="R43" s="6"/>
      <c r="S43" s="6"/>
      <c r="T43" s="6"/>
      <c r="U43" s="6"/>
      <c r="V43" s="6"/>
    </row>
    <row r="44" spans="4:22" x14ac:dyDescent="0.35">
      <c r="D44" s="6"/>
      <c r="E44" s="6"/>
      <c r="F44" s="6"/>
      <c r="G44" s="6"/>
      <c r="H44" s="6"/>
      <c r="I44" s="6"/>
      <c r="J44" s="6"/>
      <c r="K44" s="6"/>
      <c r="L44" s="6"/>
      <c r="M44" s="5" t="s">
        <v>379</v>
      </c>
      <c r="N44" s="4">
        <v>10.119999999999999</v>
      </c>
      <c r="O44" s="6"/>
      <c r="P44" s="6"/>
      <c r="Q44" s="6"/>
      <c r="R44" s="6"/>
      <c r="S44" s="6"/>
      <c r="T44" s="6"/>
      <c r="U44" s="6"/>
      <c r="V44" s="6"/>
    </row>
    <row r="45" spans="4:22" x14ac:dyDescent="0.35">
      <c r="D45" s="6"/>
      <c r="E45" s="6"/>
      <c r="F45" s="6"/>
      <c r="G45" s="6"/>
      <c r="H45" s="6"/>
      <c r="I45" s="6"/>
      <c r="J45" s="6"/>
      <c r="K45" s="6"/>
      <c r="L45" s="6"/>
      <c r="M45" s="3" t="s">
        <v>926</v>
      </c>
      <c r="N45" s="4">
        <v>9.06</v>
      </c>
      <c r="O45" s="6"/>
      <c r="P45" s="6"/>
      <c r="Q45" s="6"/>
      <c r="R45" s="6"/>
      <c r="S45" s="6"/>
      <c r="T45" s="6"/>
      <c r="U45" s="6"/>
      <c r="V45" s="6"/>
    </row>
    <row r="46" spans="4:22" x14ac:dyDescent="0.35">
      <c r="D46" s="6"/>
      <c r="E46" s="6"/>
      <c r="F46" s="6"/>
      <c r="G46" s="6"/>
      <c r="H46" s="6"/>
      <c r="I46" s="6"/>
      <c r="J46" s="6"/>
      <c r="K46" s="6"/>
      <c r="L46" s="6"/>
      <c r="M46" s="5" t="s">
        <v>927</v>
      </c>
      <c r="N46" s="4">
        <v>9.06</v>
      </c>
      <c r="O46" s="6"/>
      <c r="P46" s="6"/>
      <c r="Q46" s="6"/>
      <c r="R46" s="6"/>
      <c r="S46" s="6"/>
      <c r="T46" s="6"/>
      <c r="U46" s="6"/>
      <c r="V46" s="6"/>
    </row>
    <row r="47" spans="4:22" x14ac:dyDescent="0.35">
      <c r="D47" s="6"/>
      <c r="E47" s="6"/>
      <c r="F47" s="6"/>
      <c r="G47" s="6"/>
      <c r="H47" s="6"/>
      <c r="I47" s="6"/>
      <c r="J47" s="6"/>
      <c r="K47" s="6"/>
      <c r="L47" s="6"/>
      <c r="M47" s="3" t="s">
        <v>114</v>
      </c>
      <c r="N47" s="4">
        <v>7.42</v>
      </c>
      <c r="O47" s="6"/>
      <c r="P47" s="6"/>
      <c r="Q47" s="6"/>
      <c r="R47" s="6"/>
      <c r="S47" s="6"/>
      <c r="T47" s="6"/>
      <c r="U47" s="6"/>
      <c r="V47" s="6"/>
    </row>
    <row r="48" spans="4:22" x14ac:dyDescent="0.35">
      <c r="D48" s="6"/>
      <c r="E48" s="6"/>
      <c r="F48" s="6"/>
      <c r="G48" s="6"/>
      <c r="H48" s="6"/>
      <c r="I48" s="6"/>
      <c r="J48" s="6"/>
      <c r="K48" s="6"/>
      <c r="L48" s="6"/>
      <c r="M48" s="5" t="s">
        <v>115</v>
      </c>
      <c r="N48" s="4">
        <v>7.42</v>
      </c>
      <c r="O48" s="6"/>
      <c r="P48" s="6"/>
      <c r="Q48" s="6"/>
      <c r="R48" s="6"/>
      <c r="S48" s="6"/>
      <c r="T48" s="6"/>
      <c r="U48" s="6"/>
      <c r="V48" s="6"/>
    </row>
    <row r="49" spans="4:22" x14ac:dyDescent="0.35">
      <c r="D49" s="6"/>
      <c r="E49" s="6"/>
      <c r="F49" s="6"/>
      <c r="G49" s="6"/>
      <c r="H49" s="6"/>
      <c r="I49" s="6"/>
      <c r="J49" s="6"/>
      <c r="K49" s="6"/>
      <c r="L49" s="6"/>
      <c r="M49" s="3" t="s">
        <v>1258</v>
      </c>
      <c r="N49" s="4">
        <v>118199.49</v>
      </c>
      <c r="O49" s="6"/>
      <c r="P49" s="6"/>
      <c r="Q49" s="6"/>
      <c r="R49" s="6"/>
      <c r="S49" s="6"/>
      <c r="T49" s="6"/>
      <c r="U49" s="6"/>
      <c r="V49" s="6"/>
    </row>
    <row r="50" spans="4:22" x14ac:dyDescent="0.35">
      <c r="D50" s="6"/>
      <c r="E50" s="6"/>
      <c r="F50" s="6"/>
      <c r="G50" s="6"/>
      <c r="H50" s="6"/>
      <c r="I50" s="6"/>
      <c r="J50" s="6"/>
      <c r="K50" s="6"/>
      <c r="L50" s="6"/>
      <c r="O50" s="6"/>
      <c r="P50" s="6"/>
      <c r="Q50" s="6"/>
      <c r="R50" s="6"/>
      <c r="S50" s="6"/>
      <c r="T50" s="6"/>
      <c r="U50" s="6"/>
      <c r="V50" s="6"/>
    </row>
    <row r="51" spans="4:22" x14ac:dyDescent="0.35">
      <c r="D51" s="6"/>
      <c r="E51" s="6"/>
      <c r="F51" s="6"/>
      <c r="G51" s="6"/>
      <c r="H51" s="6"/>
      <c r="I51" s="6"/>
      <c r="J51" s="6"/>
      <c r="K51" s="6"/>
      <c r="L51" s="6"/>
      <c r="M51" s="6"/>
      <c r="N51" s="6"/>
      <c r="O51" s="6"/>
      <c r="P51" s="6"/>
      <c r="Q51" s="6"/>
      <c r="R51" s="6"/>
      <c r="S51" s="6"/>
      <c r="T51" s="6"/>
      <c r="U51" s="6"/>
      <c r="V51" s="6"/>
    </row>
    <row r="52" spans="4:22" x14ac:dyDescent="0.35">
      <c r="D52" s="6"/>
      <c r="E52" s="6"/>
      <c r="F52" s="6"/>
      <c r="G52" s="6"/>
      <c r="H52" s="6"/>
      <c r="I52" s="6"/>
      <c r="J52" s="6"/>
      <c r="K52" s="6"/>
      <c r="L52" s="6"/>
      <c r="M52" s="6"/>
      <c r="N52" s="6"/>
      <c r="O52" s="6"/>
      <c r="P52" s="6"/>
      <c r="Q52" s="6"/>
      <c r="R52" s="6"/>
      <c r="S52" s="6"/>
      <c r="T52" s="6"/>
      <c r="U52" s="6"/>
      <c r="V52" s="6"/>
    </row>
    <row r="53" spans="4:22" x14ac:dyDescent="0.35">
      <c r="D53" s="6"/>
      <c r="E53" s="6"/>
      <c r="F53" s="6"/>
      <c r="G53" s="6"/>
      <c r="H53" s="6"/>
      <c r="I53" s="6"/>
      <c r="J53" s="6"/>
      <c r="K53" s="6"/>
      <c r="L53" s="6"/>
      <c r="M53" s="6"/>
      <c r="N53" s="6"/>
      <c r="O53" s="6"/>
      <c r="P53" s="6"/>
      <c r="Q53" s="6"/>
      <c r="R53" s="6"/>
      <c r="S53" s="6"/>
      <c r="T53" s="6"/>
      <c r="U53" s="6"/>
      <c r="V53" s="6"/>
    </row>
    <row r="54" spans="4:22" x14ac:dyDescent="0.35">
      <c r="D54" s="6"/>
      <c r="E54" s="6"/>
      <c r="F54" s="6"/>
      <c r="G54" s="6"/>
      <c r="H54" s="6"/>
      <c r="I54" s="6"/>
      <c r="J54" s="6"/>
      <c r="K54" s="6"/>
      <c r="L54" s="6"/>
      <c r="M54" s="6"/>
      <c r="N54" s="6"/>
      <c r="O54" s="6"/>
      <c r="P54" s="6"/>
      <c r="Q54" s="6"/>
      <c r="R54" s="6"/>
      <c r="S54" s="6"/>
      <c r="T54" s="6"/>
      <c r="U54" s="6"/>
      <c r="V54" s="6"/>
    </row>
    <row r="55" spans="4:22" x14ac:dyDescent="0.35">
      <c r="D55" s="6"/>
      <c r="E55" s="6"/>
      <c r="F55" s="6"/>
      <c r="G55" s="6"/>
      <c r="H55" s="6"/>
      <c r="I55" s="6"/>
      <c r="J55" s="6"/>
      <c r="K55" s="6"/>
      <c r="L55" s="6"/>
      <c r="M55" s="6"/>
      <c r="N55" s="6"/>
      <c r="O55" s="6"/>
      <c r="P55" s="6"/>
      <c r="Q55" s="6"/>
      <c r="R55" s="6"/>
      <c r="S55" s="6"/>
      <c r="T55" s="6"/>
      <c r="U55" s="6"/>
      <c r="V55" s="6"/>
    </row>
    <row r="56" spans="4:22" x14ac:dyDescent="0.35">
      <c r="D56" s="6"/>
      <c r="E56" s="6"/>
      <c r="F56" s="6"/>
      <c r="G56" s="6"/>
      <c r="H56" s="6"/>
      <c r="I56" s="6"/>
      <c r="J56" s="6"/>
      <c r="K56" s="6"/>
      <c r="L56" s="6"/>
      <c r="M56" s="6"/>
      <c r="N56" s="6"/>
      <c r="O56" s="6"/>
      <c r="P56" s="6"/>
      <c r="Q56" s="6"/>
      <c r="R56" s="6"/>
      <c r="S56" s="6"/>
      <c r="T56" s="6"/>
      <c r="U56" s="6"/>
      <c r="V56" s="6"/>
    </row>
    <row r="57" spans="4:22" x14ac:dyDescent="0.35">
      <c r="D57" s="6"/>
      <c r="E57" s="6"/>
      <c r="F57" s="6"/>
      <c r="G57" s="6"/>
      <c r="H57" s="6"/>
      <c r="I57" s="6"/>
      <c r="J57" s="6"/>
      <c r="K57" s="6"/>
      <c r="L57" s="6"/>
      <c r="M57" s="6"/>
      <c r="N57" s="6"/>
      <c r="O57" s="6"/>
      <c r="P57" s="6"/>
      <c r="Q57" s="6"/>
      <c r="R57" s="6"/>
      <c r="S57" s="6"/>
      <c r="T57" s="6"/>
      <c r="U57" s="6"/>
      <c r="V57" s="6"/>
    </row>
    <row r="58" spans="4:22" x14ac:dyDescent="0.35">
      <c r="D58" s="6"/>
      <c r="E58" s="6"/>
      <c r="F58" s="6"/>
      <c r="G58" s="6"/>
      <c r="H58" s="6"/>
      <c r="I58" s="6"/>
      <c r="J58" s="6"/>
      <c r="K58" s="6"/>
      <c r="L58" s="6"/>
      <c r="M58" s="6"/>
      <c r="N58" s="6"/>
      <c r="O58" s="6"/>
      <c r="P58" s="6"/>
      <c r="Q58" s="6"/>
      <c r="R58" s="6"/>
      <c r="S58" s="6"/>
      <c r="T58" s="6"/>
      <c r="U58" s="6"/>
      <c r="V58" s="6"/>
    </row>
    <row r="59" spans="4:22" x14ac:dyDescent="0.35">
      <c r="D59" s="6"/>
      <c r="E59" s="6"/>
      <c r="F59" s="6"/>
      <c r="G59" s="6"/>
      <c r="H59" s="6"/>
      <c r="I59" s="6"/>
      <c r="J59" s="6"/>
      <c r="K59" s="6"/>
      <c r="L59" s="6"/>
      <c r="M59" s="6"/>
      <c r="N59" s="6"/>
      <c r="O59" s="6"/>
      <c r="P59" s="6"/>
      <c r="Q59" s="6"/>
      <c r="R59" s="6"/>
      <c r="S59" s="6"/>
      <c r="T59" s="6"/>
      <c r="U59" s="6"/>
      <c r="V59" s="6"/>
    </row>
    <row r="60" spans="4:22" x14ac:dyDescent="0.35">
      <c r="D60" s="6"/>
      <c r="E60" s="6"/>
      <c r="F60" s="6"/>
      <c r="G60" s="6"/>
      <c r="H60" s="6"/>
      <c r="I60" s="6"/>
      <c r="J60" s="6"/>
      <c r="K60" s="6"/>
      <c r="L60" s="6"/>
      <c r="M60" s="6"/>
      <c r="N60" s="6"/>
      <c r="O60" s="6"/>
      <c r="P60" s="6"/>
      <c r="Q60" s="6"/>
      <c r="R60" s="6"/>
      <c r="S60" s="6"/>
      <c r="T60" s="6"/>
      <c r="U60" s="6"/>
      <c r="V60" s="6"/>
    </row>
    <row r="61" spans="4:22" x14ac:dyDescent="0.35">
      <c r="D61" s="6"/>
      <c r="E61" s="6"/>
      <c r="F61" s="6"/>
      <c r="G61" s="6"/>
      <c r="H61" s="6"/>
      <c r="I61" s="6"/>
      <c r="J61" s="6"/>
      <c r="K61" s="6"/>
      <c r="L61" s="6"/>
      <c r="M61" s="6"/>
      <c r="N61" s="6"/>
      <c r="O61" s="6"/>
      <c r="P61" s="6"/>
      <c r="Q61" s="6"/>
      <c r="R61" s="6"/>
      <c r="S61" s="6"/>
      <c r="T61" s="6"/>
      <c r="U61" s="6"/>
      <c r="V61" s="6"/>
    </row>
    <row r="62" spans="4:22" x14ac:dyDescent="0.35">
      <c r="D62" s="6"/>
      <c r="E62" s="6"/>
      <c r="F62" s="6"/>
      <c r="G62" s="6"/>
      <c r="H62" s="6"/>
      <c r="I62" s="6"/>
      <c r="J62" s="6"/>
      <c r="K62" s="6"/>
      <c r="L62" s="6"/>
      <c r="M62" s="6"/>
      <c r="N62" s="6"/>
      <c r="O62" s="6"/>
      <c r="P62" s="6"/>
      <c r="Q62" s="6"/>
      <c r="R62" s="6"/>
      <c r="S62" s="6"/>
      <c r="T62" s="6"/>
      <c r="U62" s="6"/>
      <c r="V62" s="6"/>
    </row>
    <row r="63" spans="4:22" x14ac:dyDescent="0.35">
      <c r="D63" s="6"/>
      <c r="E63" s="6"/>
      <c r="F63" s="6"/>
      <c r="G63" s="6"/>
      <c r="H63" s="6"/>
      <c r="I63" s="6"/>
      <c r="J63" s="6"/>
      <c r="K63" s="6"/>
      <c r="L63" s="6"/>
      <c r="M63" s="6"/>
      <c r="N63" s="6"/>
      <c r="O63" s="6"/>
      <c r="P63" s="6"/>
      <c r="Q63" s="6"/>
      <c r="R63" s="6"/>
      <c r="S63" s="6"/>
      <c r="T63" s="6"/>
      <c r="U63" s="6"/>
      <c r="V63" s="6"/>
    </row>
    <row r="64" spans="4:22" x14ac:dyDescent="0.35">
      <c r="D64" s="6"/>
      <c r="E64" s="6"/>
      <c r="F64" s="6"/>
      <c r="G64" s="6"/>
      <c r="H64" s="6"/>
      <c r="I64" s="6"/>
      <c r="J64" s="6"/>
      <c r="K64" s="6"/>
      <c r="L64" s="6"/>
      <c r="M64" s="6"/>
      <c r="N64" s="6"/>
      <c r="O64" s="6"/>
      <c r="P64" s="6"/>
      <c r="Q64" s="6"/>
      <c r="R64" s="6"/>
      <c r="S64" s="6"/>
      <c r="T64" s="6"/>
      <c r="U64" s="6"/>
      <c r="V64" s="6"/>
    </row>
    <row r="65" spans="4:22" x14ac:dyDescent="0.35">
      <c r="D65" s="6"/>
      <c r="E65" s="6"/>
      <c r="F65" s="6"/>
      <c r="G65" s="6"/>
      <c r="H65" s="6"/>
      <c r="I65" s="6"/>
      <c r="J65" s="6"/>
      <c r="K65" s="6"/>
      <c r="L65" s="6"/>
      <c r="M65" s="6"/>
      <c r="N65" s="6"/>
      <c r="O65" s="6"/>
      <c r="P65" s="6"/>
      <c r="Q65" s="6"/>
      <c r="R65" s="6"/>
      <c r="S65" s="6"/>
      <c r="T65" s="6"/>
      <c r="U65" s="6"/>
      <c r="V65" s="6"/>
    </row>
    <row r="66" spans="4:22" x14ac:dyDescent="0.35">
      <c r="D66" s="6"/>
      <c r="E66" s="6"/>
      <c r="F66" s="6"/>
      <c r="G66" s="6"/>
      <c r="H66" s="6"/>
      <c r="I66" s="6"/>
      <c r="J66" s="6"/>
      <c r="K66" s="6"/>
      <c r="L66" s="6"/>
      <c r="M66" s="6"/>
      <c r="N66" s="6"/>
      <c r="O66" s="6"/>
      <c r="P66" s="6"/>
      <c r="Q66" s="6"/>
      <c r="R66" s="6"/>
      <c r="S66" s="6"/>
      <c r="T66" s="6"/>
      <c r="U66" s="6"/>
      <c r="V66" s="6"/>
    </row>
    <row r="67" spans="4:22" x14ac:dyDescent="0.35">
      <c r="D67" s="6"/>
      <c r="E67" s="6"/>
      <c r="F67" s="6"/>
      <c r="G67" s="6"/>
      <c r="H67" s="6"/>
      <c r="I67" s="6"/>
      <c r="J67" s="6"/>
      <c r="K67" s="6"/>
      <c r="L67" s="6"/>
      <c r="M67" s="6"/>
      <c r="N67" s="6"/>
      <c r="O67" s="6"/>
      <c r="P67" s="6"/>
      <c r="Q67" s="6"/>
      <c r="R67" s="6"/>
      <c r="S67" s="6"/>
      <c r="T67" s="6"/>
      <c r="U67" s="6"/>
      <c r="V67" s="6"/>
    </row>
    <row r="68" spans="4:22" x14ac:dyDescent="0.35">
      <c r="D68" s="6"/>
      <c r="E68" s="6"/>
      <c r="F68" s="6"/>
      <c r="G68" s="6"/>
      <c r="H68" s="6"/>
      <c r="I68" s="6"/>
      <c r="J68" s="6"/>
      <c r="K68" s="6"/>
      <c r="L68" s="6"/>
      <c r="M68" s="6"/>
      <c r="N68" s="6"/>
      <c r="O68" s="6"/>
      <c r="P68" s="6"/>
      <c r="Q68" s="6"/>
      <c r="R68" s="6"/>
      <c r="S68" s="6"/>
      <c r="T68" s="6"/>
      <c r="U68" s="6"/>
      <c r="V68" s="6"/>
    </row>
    <row r="69" spans="4:22" x14ac:dyDescent="0.35">
      <c r="D69" s="6"/>
      <c r="E69" s="6"/>
      <c r="F69" s="6"/>
      <c r="G69" s="6"/>
      <c r="H69" s="6"/>
      <c r="I69" s="6"/>
      <c r="J69" s="6"/>
      <c r="K69" s="6"/>
      <c r="L69" s="6"/>
      <c r="M69" s="6"/>
      <c r="N69" s="6"/>
      <c r="O69" s="6"/>
      <c r="P69" s="6"/>
      <c r="Q69" s="6"/>
      <c r="R69" s="6"/>
      <c r="S69" s="6"/>
      <c r="T69" s="6"/>
      <c r="U69" s="6"/>
      <c r="V69" s="6"/>
    </row>
    <row r="70" spans="4:22" x14ac:dyDescent="0.35">
      <c r="D70" s="6"/>
      <c r="E70" s="6"/>
      <c r="F70" s="6"/>
      <c r="G70" s="6"/>
      <c r="H70" s="6"/>
      <c r="I70" s="6"/>
      <c r="J70" s="6"/>
      <c r="K70" s="6"/>
      <c r="L70" s="6"/>
      <c r="M70" s="6"/>
      <c r="N70" s="6"/>
      <c r="O70" s="6"/>
      <c r="P70" s="6"/>
      <c r="Q70" s="6"/>
      <c r="R70" s="6"/>
      <c r="S70" s="6"/>
      <c r="T70" s="6"/>
      <c r="U70" s="6"/>
      <c r="V70" s="6"/>
    </row>
    <row r="71" spans="4:22" x14ac:dyDescent="0.35">
      <c r="D71" s="6"/>
      <c r="E71" s="6"/>
      <c r="F71" s="6"/>
      <c r="G71" s="6"/>
      <c r="H71" s="6"/>
      <c r="I71" s="6"/>
      <c r="J71" s="6"/>
      <c r="K71" s="6"/>
      <c r="L71" s="6"/>
      <c r="M71" s="6"/>
      <c r="N71" s="6"/>
      <c r="O71" s="6"/>
      <c r="P71" s="6"/>
      <c r="Q71" s="6"/>
      <c r="R71" s="6"/>
      <c r="S71" s="6"/>
      <c r="T71" s="6"/>
      <c r="U71" s="6"/>
      <c r="V71" s="6"/>
    </row>
    <row r="72" spans="4:22" x14ac:dyDescent="0.35">
      <c r="D72" s="6"/>
      <c r="E72" s="6"/>
      <c r="F72" s="6"/>
      <c r="G72" s="6"/>
      <c r="H72" s="6"/>
      <c r="I72" s="6"/>
      <c r="J72" s="6"/>
      <c r="K72" s="6"/>
      <c r="L72" s="6"/>
      <c r="M72" s="6"/>
      <c r="N72" s="6"/>
      <c r="O72" s="6"/>
      <c r="P72" s="6"/>
      <c r="Q72" s="6"/>
      <c r="R72" s="6"/>
      <c r="S72" s="6"/>
      <c r="T72" s="6"/>
      <c r="U72" s="6"/>
      <c r="V72" s="6"/>
    </row>
    <row r="73" spans="4:22" x14ac:dyDescent="0.35">
      <c r="D73" s="6"/>
      <c r="E73" s="6"/>
      <c r="F73" s="6"/>
      <c r="G73" s="6"/>
      <c r="H73" s="6"/>
      <c r="I73" s="6"/>
      <c r="J73" s="6"/>
      <c r="K73" s="6"/>
      <c r="L73" s="6"/>
      <c r="M73" s="6"/>
      <c r="N73" s="6"/>
      <c r="O73" s="6"/>
      <c r="P73" s="6"/>
      <c r="Q73" s="6"/>
      <c r="R73" s="6"/>
      <c r="S73" s="6"/>
      <c r="T73" s="6"/>
      <c r="U73" s="6"/>
      <c r="V73" s="6"/>
    </row>
    <row r="74" spans="4:22" x14ac:dyDescent="0.35">
      <c r="R74" s="6"/>
      <c r="S74" s="6"/>
      <c r="T74" s="6"/>
      <c r="U74" s="6"/>
    </row>
    <row r="75" spans="4:22" x14ac:dyDescent="0.35">
      <c r="R75" s="6"/>
      <c r="S75" s="6"/>
      <c r="T75" s="6"/>
      <c r="U75" s="6"/>
    </row>
  </sheetData>
  <conditionalFormatting sqref="O59:O61">
    <cfRule type="colorScale" priority="9">
      <colorScale>
        <cfvo type="min"/>
        <cfvo type="percentile" val="50"/>
        <cfvo type="max"/>
        <color rgb="FFF8696B"/>
        <color rgb="FFFFEB84"/>
        <color rgb="FF63BE7B"/>
      </colorScale>
    </cfRule>
  </conditionalFormatting>
  <conditionalFormatting sqref="O59:O61">
    <cfRule type="colorScale" priority="8">
      <colorScale>
        <cfvo type="min"/>
        <cfvo type="percentile" val="50"/>
        <cfvo type="max"/>
        <color rgb="FF63BE7B"/>
        <color rgb="FFFFEB84"/>
        <color rgb="FFF8696B"/>
      </colorScale>
    </cfRule>
  </conditionalFormatting>
  <conditionalFormatting sqref="R64:R66">
    <cfRule type="colorScale" priority="7">
      <colorScale>
        <cfvo type="min"/>
        <cfvo type="percentile" val="50"/>
        <cfvo type="max"/>
        <color rgb="FFF8696B"/>
        <color rgb="FFFFEB84"/>
        <color rgb="FF63BE7B"/>
      </colorScale>
    </cfRule>
  </conditionalFormatting>
  <conditionalFormatting sqref="R64:R66">
    <cfRule type="colorScale" priority="6">
      <colorScale>
        <cfvo type="min"/>
        <cfvo type="percentile" val="50"/>
        <cfvo type="max"/>
        <color rgb="FF63BE7B"/>
        <color rgb="FFFFEB84"/>
        <color rgb="FFF8696B"/>
      </colorScale>
    </cfRule>
  </conditionalFormatting>
  <conditionalFormatting sqref="R52:R54">
    <cfRule type="colorScale" priority="5">
      <colorScale>
        <cfvo type="min"/>
        <cfvo type="percentile" val="50"/>
        <cfvo type="max"/>
        <color rgb="FFF8696B"/>
        <color rgb="FFFFEB84"/>
        <color rgb="FF63BE7B"/>
      </colorScale>
    </cfRule>
  </conditionalFormatting>
  <conditionalFormatting sqref="R52:R54">
    <cfRule type="colorScale" priority="4">
      <colorScale>
        <cfvo type="min"/>
        <cfvo type="percentile" val="50"/>
        <cfvo type="max"/>
        <color rgb="FF63BE7B"/>
        <color rgb="FFFFEB84"/>
        <color rgb="FFF8696B"/>
      </colorScale>
    </cfRule>
  </conditionalFormatting>
  <conditionalFormatting sqref="M30:M49">
    <cfRule type="colorScale" priority="3">
      <colorScale>
        <cfvo type="min"/>
        <cfvo type="percentile" val="50"/>
        <cfvo type="max"/>
        <color rgb="FFF8696B"/>
        <color rgb="FFFFEB84"/>
        <color rgb="FF63BE7B"/>
      </colorScale>
    </cfRule>
  </conditionalFormatting>
  <conditionalFormatting sqref="M30:M49">
    <cfRule type="colorScale" priority="2">
      <colorScale>
        <cfvo type="min"/>
        <cfvo type="percentile" val="50"/>
        <cfvo type="max"/>
        <color rgb="FF63BE7B"/>
        <color rgb="FFFFEB84"/>
        <color rgb="FFF8696B"/>
      </colorScale>
    </cfRule>
  </conditionalFormatting>
  <conditionalFormatting sqref="M30:M48">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79D62F-4905-4652-B515-94B86FC75C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Sasank Chintala</cp:lastModifiedBy>
  <dcterms:created xsi:type="dcterms:W3CDTF">2025-08-27T17:48:57Z</dcterms:created>
  <dcterms:modified xsi:type="dcterms:W3CDTF">2025-08-29T18:44:31Z</dcterms:modified>
</cp:coreProperties>
</file>