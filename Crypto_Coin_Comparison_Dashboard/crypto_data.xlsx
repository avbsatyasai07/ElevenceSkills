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levence skills\data analytics\Crypto_Coin_Comparison_Dashboard\"/>
    </mc:Choice>
  </mc:AlternateContent>
  <xr:revisionPtr revIDLastSave="0" documentId="13_ncr:1_{F539D194-8E0A-4F7D-ABCA-BAEE89B39E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ypto_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B11" i="2"/>
  <c r="B10" i="2"/>
  <c r="B9" i="2"/>
  <c r="B16" i="2" s="1"/>
  <c r="B8" i="2"/>
  <c r="B7" i="2"/>
  <c r="B18" i="2" l="1"/>
  <c r="B20" i="2"/>
</calcChain>
</file>

<file path=xl/sharedStrings.xml><?xml version="1.0" encoding="utf-8"?>
<sst xmlns="http://schemas.openxmlformats.org/spreadsheetml/2006/main" count="107" uniqueCount="99">
  <si>
    <t>Coin Name</t>
  </si>
  <si>
    <t>Symbol</t>
  </si>
  <si>
    <t>Price</t>
  </si>
  <si>
    <t>Volume</t>
  </si>
  <si>
    <t>Market Capitalization</t>
  </si>
  <si>
    <t>Circulating Supply</t>
  </si>
  <si>
    <t>Bitcoin</t>
  </si>
  <si>
    <t>BTC</t>
  </si>
  <si>
    <t>$61,601.67</t>
  </si>
  <si>
    <t>$37.77B</t>
  </si>
  <si>
    <t>$1.23T</t>
  </si>
  <si>
    <t>20.05M BTC</t>
  </si>
  <si>
    <t>Ethereum</t>
  </si>
  <si>
    <t>ETH</t>
  </si>
  <si>
    <t>$1,713.10</t>
  </si>
  <si>
    <t>$13.47B</t>
  </si>
  <si>
    <t>$206.74B</t>
  </si>
  <si>
    <t>120.68M ETH</t>
  </si>
  <si>
    <t>Tether</t>
  </si>
  <si>
    <t>USDT</t>
  </si>
  <si>
    <t>$0.9986</t>
  </si>
  <si>
    <t>$74.65B</t>
  </si>
  <si>
    <t>$184.04B</t>
  </si>
  <si>
    <t>184.28B USDT</t>
  </si>
  <si>
    <t>BNB</t>
  </si>
  <si>
    <t>$561.57</t>
  </si>
  <si>
    <t>$1.25B</t>
  </si>
  <si>
    <t>$75.69B</t>
  </si>
  <si>
    <t>134.78M BNB</t>
  </si>
  <si>
    <t>USDC</t>
  </si>
  <si>
    <t>$0.9995</t>
  </si>
  <si>
    <t>$10.72B</t>
  </si>
  <si>
    <t>$73.19B</t>
  </si>
  <si>
    <t>73.22B USDC</t>
  </si>
  <si>
    <t>XRP</t>
  </si>
  <si>
    <t>$1.09</t>
  </si>
  <si>
    <t>$1.75B</t>
  </si>
  <si>
    <t>$68.31B</t>
  </si>
  <si>
    <t>62.24B XRP</t>
  </si>
  <si>
    <t>Solana</t>
  </si>
  <si>
    <t>SOL</t>
  </si>
  <si>
    <t>$81.00</t>
  </si>
  <si>
    <t>$3.93B</t>
  </si>
  <si>
    <t>$47.06B</t>
  </si>
  <si>
    <t>581.01M SOL</t>
  </si>
  <si>
    <t>TRON</t>
  </si>
  <si>
    <t>TRX</t>
  </si>
  <si>
    <t>$0.3170</t>
  </si>
  <si>
    <t>$447.63M</t>
  </si>
  <si>
    <t>$30.07B</t>
  </si>
  <si>
    <t>94.85B TRX</t>
  </si>
  <si>
    <t>Hyperliquid</t>
  </si>
  <si>
    <t>HYPE</t>
  </si>
  <si>
    <t>$67.33</t>
  </si>
  <si>
    <t>$471.67M</t>
  </si>
  <si>
    <t>$17.02B</t>
  </si>
  <si>
    <t>252.81M HYPE</t>
  </si>
  <si>
    <t>Dogecoin</t>
  </si>
  <si>
    <t>DOGE</t>
  </si>
  <si>
    <t>$0.07505</t>
  </si>
  <si>
    <t>$695.17M</t>
  </si>
  <si>
    <t>$12.8B</t>
  </si>
  <si>
    <t>170.62B DOGE</t>
  </si>
  <si>
    <t>UNUS SED LEO</t>
  </si>
  <si>
    <t>LEO</t>
  </si>
  <si>
    <t>$9.11</t>
  </si>
  <si>
    <t>$540.11K</t>
  </si>
  <si>
    <t>$8.38B</t>
  </si>
  <si>
    <t>920.27M LEO</t>
  </si>
  <si>
    <t>Zcash</t>
  </si>
  <si>
    <t>ZEC</t>
  </si>
  <si>
    <t>$432.35</t>
  </si>
  <si>
    <t>$496.18M</t>
  </si>
  <si>
    <t>$7.24B</t>
  </si>
  <si>
    <t>16.75M ZEC</t>
  </si>
  <si>
    <t>Stellar</t>
  </si>
  <si>
    <t>XLM</t>
  </si>
  <si>
    <t>$0.1987</t>
  </si>
  <si>
    <t>$241.62M</t>
  </si>
  <si>
    <t>$6.75B</t>
  </si>
  <si>
    <t>33.98B XLM</t>
  </si>
  <si>
    <t>Cardano</t>
  </si>
  <si>
    <t>ADA</t>
  </si>
  <si>
    <t>$0.1637</t>
  </si>
  <si>
    <t>$517.98M</t>
  </si>
  <si>
    <t>$5.95B</t>
  </si>
  <si>
    <t>36.39B ADA</t>
  </si>
  <si>
    <t>Crypto Coin Comparison Dashboard</t>
  </si>
  <si>
    <t xml:space="preserve">Enter Coin 1   </t>
  </si>
  <si>
    <t>Enter Coin 2</t>
  </si>
  <si>
    <t>Details</t>
  </si>
  <si>
    <t>Coin 1</t>
  </si>
  <si>
    <t>Coin 2</t>
  </si>
  <si>
    <t>KPI Indicators</t>
  </si>
  <si>
    <t>Volume Difference</t>
  </si>
  <si>
    <t>Market Cap Difference</t>
  </si>
  <si>
    <t>Circulating Supply Difference</t>
  </si>
  <si>
    <t>bitcoin</t>
  </si>
  <si>
    <t>zcash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</si>
</sst>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4" xfId="0" applyFont="1" applyBorder="1"/>
    <xf numFmtId="0" fontId="0" fillId="0" borderId="2" xfId="0" applyBorder="1"/>
    <xf numFmtId="0" fontId="2" fillId="0" borderId="5" xfId="0" applyFont="1" applyBorder="1"/>
    <xf numFmtId="0" fontId="0" fillId="0" borderId="3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2148D-C85E-4D45-8D3A-036750E616F9}" name="CryptoTable" displayName="CryptoTable" ref="A1:F15" totalsRowShown="0">
  <autoFilter ref="A1:F15" xr:uid="{3CA2148D-C85E-4D45-8D3A-036750E616F9}"/>
  <tableColumns count="6">
    <tableColumn id="1" xr3:uid="{AC7DDE4C-E3F6-4339-8008-C9BE2991D7CD}" name="Coin Name"/>
    <tableColumn id="2" xr3:uid="{684182EB-2B47-47DA-8ED0-39D17A7367F6}" name="Symbol"/>
    <tableColumn id="3" xr3:uid="{096B9459-8D28-4B51-87FE-064982424639}" name="Price"/>
    <tableColumn id="4" xr3:uid="{EC7BE109-97A2-4205-89E9-732C14435098}" name="Volume"/>
    <tableColumn id="5" xr3:uid="{E48C4101-05A1-4930-8773-9B5E20FD5C31}" name="Market Capitalization"/>
    <tableColumn id="6" xr3:uid="{8E35E3FD-7124-49E6-9C12-F5E7822E988C}" name="Circulating Suppl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opLeftCell="A4" workbookViewId="0">
      <selection activeCell="B28" sqref="B28:B29"/>
    </sheetView>
  </sheetViews>
  <sheetFormatPr defaultRowHeight="14.4" x14ac:dyDescent="0.3"/>
  <cols>
    <col min="1" max="1" width="24.88671875" bestFit="1" customWidth="1"/>
    <col min="2" max="2" width="9.21875" customWidth="1"/>
    <col min="3" max="3" width="10" bestFit="1" customWidth="1"/>
    <col min="4" max="4" width="9.44140625" customWidth="1"/>
    <col min="5" max="5" width="20.77734375" customWidth="1"/>
    <col min="6" max="6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x14ac:dyDescent="0.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 spans="1:6" x14ac:dyDescent="0.3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0275-688B-4077-AC75-185CA71E62FA}">
  <dimension ref="A1:E20"/>
  <sheetViews>
    <sheetView tabSelected="1" workbookViewId="0">
      <selection activeCell="G13" sqref="G13"/>
    </sheetView>
  </sheetViews>
  <sheetFormatPr defaultRowHeight="14.4" x14ac:dyDescent="0.3"/>
  <cols>
    <col min="1" max="1" width="24.5546875" customWidth="1"/>
    <col min="2" max="2" width="10.88671875" bestFit="1" customWidth="1"/>
    <col min="3" max="3" width="11.88671875" bestFit="1" customWidth="1"/>
    <col min="4" max="4" width="10.88671875" bestFit="1" customWidth="1"/>
  </cols>
  <sheetData>
    <row r="1" spans="1:5" x14ac:dyDescent="0.3">
      <c r="A1" s="6" t="s">
        <v>87</v>
      </c>
      <c r="B1" s="6"/>
      <c r="C1" s="6"/>
      <c r="D1" s="6"/>
      <c r="E1" s="6"/>
    </row>
    <row r="3" spans="1:5" x14ac:dyDescent="0.3">
      <c r="A3" s="1" t="s">
        <v>88</v>
      </c>
      <c r="B3" s="2" t="s">
        <v>97</v>
      </c>
      <c r="D3" s="1" t="s">
        <v>89</v>
      </c>
      <c r="E3" s="2" t="s">
        <v>98</v>
      </c>
    </row>
    <row r="6" spans="1:5" x14ac:dyDescent="0.3">
      <c r="A6" t="s">
        <v>90</v>
      </c>
      <c r="B6" s="2" t="s">
        <v>91</v>
      </c>
      <c r="C6" s="2" t="s">
        <v>92</v>
      </c>
    </row>
    <row r="7" spans="1:5" x14ac:dyDescent="0.3">
      <c r="A7" t="s">
        <v>1</v>
      </c>
      <c r="B7" s="3" t="str">
        <f>_xlfn.XLOOKUP($B$3,CryptoTable[Coin Name],CryptoTable[Symbol])</f>
        <v>BTC</v>
      </c>
      <c r="C7" s="3" t="str">
        <f>_xlfn.XLOOKUP($E$3,CryptoTable[Coin Name],CryptoTable[Symbol])</f>
        <v>ZEC</v>
      </c>
    </row>
    <row r="8" spans="1:5" x14ac:dyDescent="0.3">
      <c r="A8" t="s">
        <v>2</v>
      </c>
      <c r="B8" s="3" t="str">
        <f>_xlfn.XLOOKUP($B$3,CryptoTable[Coin Name],CryptoTable[Price])</f>
        <v>$61,601.67</v>
      </c>
      <c r="C8" s="4" t="str">
        <f>_xlfn.XLOOKUP($E$3,CryptoTable[Coin Name],CryptoTable[Price])</f>
        <v>$432.35</v>
      </c>
    </row>
    <row r="9" spans="1:5" x14ac:dyDescent="0.3">
      <c r="A9" t="s">
        <v>3</v>
      </c>
      <c r="B9" s="3" t="str">
        <f>_xlfn.XLOOKUP($B$3,CryptoTable[Coin Name],CryptoTable[Volume])</f>
        <v>$37.77B</v>
      </c>
      <c r="C9" s="3" t="str">
        <f>_xlfn.XLOOKUP($E$3,CryptoTable[Coin Name],CryptoTable[Volume])</f>
        <v>$496.18M</v>
      </c>
    </row>
    <row r="10" spans="1:5" x14ac:dyDescent="0.3">
      <c r="A10" t="s">
        <v>4</v>
      </c>
      <c r="B10" s="3" t="str">
        <f>_xlfn.XLOOKUP($B$3,CryptoTable[Coin Name],CryptoTable[Market Capitalization])</f>
        <v>$1.23T</v>
      </c>
      <c r="C10" s="3" t="str">
        <f>_xlfn.XLOOKUP($E$3,CryptoTable[Coin Name],CryptoTable[Market Capitalization])</f>
        <v>$7.24B</v>
      </c>
    </row>
    <row r="11" spans="1:5" x14ac:dyDescent="0.3">
      <c r="A11" t="s">
        <v>5</v>
      </c>
      <c r="B11" s="5" t="str">
        <f>_xlfn.XLOOKUP($B$3,CryptoTable[Coin Name],CryptoTable[Circulating Supply])</f>
        <v>20.05M BTC</v>
      </c>
      <c r="C11" s="5" t="str">
        <f>_xlfn.XLOOKUP($E$3,CryptoTable[Coin Name],CryptoTable[Circulating Supply])</f>
        <v>16.75M ZEC</v>
      </c>
    </row>
    <row r="14" spans="1:5" x14ac:dyDescent="0.3">
      <c r="A14" t="s">
        <v>93</v>
      </c>
    </row>
    <row r="16" spans="1:5" x14ac:dyDescent="0.3">
      <c r="A16" t="s">
        <v>94</v>
      </c>
      <c r="B16" t="e">
        <f>ABS(VALUE(SUBSTITUTE(SUBSTITUTE(B9,"$",""),"B",""))-VALUE(SUBSTITUTE(SUBSTITUTE(C9,"$",""),"B","")))&amp;" B"</f>
        <v>#VALUE!</v>
      </c>
    </row>
    <row r="18" spans="1:2" x14ac:dyDescent="0.3">
      <c r="A18" t="s">
        <v>95</v>
      </c>
      <c r="B18" t="str">
        <f>ABS(IF(RIGHT(B10)="T",VALUE(SUBSTITUTE(SUBSTITUTE(B10,"$",""),"T",""))*1000,VALUE(SUBSTITUTE(SUBSTITUTE(B10,"$",""),"B","")))-IF(RIGHT(C10)="T",VALUE(SUBSTITUTE(SUBSTITUTE(C10,"$",""),"T",""))*1000,VALUE(SUBSTITUTE(SUBSTITUTE(C10,"$",""),"B",""))))&amp;" B"</f>
        <v>1222.76 B</v>
      </c>
    </row>
    <row r="20" spans="1:2" x14ac:dyDescent="0.3">
      <c r="A20" t="s">
        <v>96</v>
      </c>
      <c r="B20" t="str">
        <f>ABS(VALUE(LEFT(B11,FIND("M",B11)-1))-VALUE(LEFT(C11,FIND("M",C11)-1)))&amp;" M"</f>
        <v>3.3 M</v>
      </c>
    </row>
  </sheetData>
  <mergeCells count="1">
    <mergeCell ref="A1:E1"/>
  </mergeCells>
  <dataValidations count="2">
    <dataValidation type="custom" allowBlank="1" showInputMessage="1" showErrorMessage="1" sqref="E3" xr:uid="{3EFE280A-585E-41AC-8738-EC8345A20FAD}">
      <formula1>AND(LEN(E3)&gt;=3,LEN(E3)&lt;=10,ISERROR(LOOKUP(9.9E+307,--MID(E3,ROW(INDIRECT("1:"&amp;LEN(E3))),1))))</formula1>
    </dataValidation>
    <dataValidation type="custom" allowBlank="1" showInputMessage="1" showErrorMessage="1" sqref="B3" xr:uid="{80AF13A5-1958-42FF-B09A-5EBC00B9C8F1}">
      <formula1>AND(LEN(B3)&gt;=3,LEN(B3)&lt;=10,ISERROR(LOOKUP(9.9E+307,--MID(B3,ROW(INDIRECT("1:"&amp;LEN(B3))),1))))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Crypto_Data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24B11DS012</cp:lastModifiedBy>
  <dcterms:created xsi:type="dcterms:W3CDTF">2026-07-03T05:49:20Z</dcterms:created>
  <dcterms:modified xsi:type="dcterms:W3CDTF">2026-07-07T06:32:34Z</dcterms:modified>
</cp:coreProperties>
</file>