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levence skills\data analytics\Historical Price Change Insights Scrape\"/>
    </mc:Choice>
  </mc:AlternateContent>
  <xr:revisionPtr revIDLastSave="0" documentId="13_ncr:1_{B71F34CD-F38E-46A9-9243-B064D723F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istorical Price Analysis" sheetId="3" r:id="rId2"/>
  </sheets>
  <definedNames>
    <definedName name="_xlnm._FilterDatabase" localSheetId="0" hidden="1">Sheet1!$A$1:$K$201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H23" i="1"/>
  <c r="I23" i="1"/>
  <c r="J23" i="1"/>
  <c r="K23" i="1"/>
  <c r="G26" i="1"/>
  <c r="H26" i="1"/>
  <c r="I26" i="1"/>
  <c r="J26" i="1"/>
  <c r="K26" i="1"/>
  <c r="G27" i="1"/>
  <c r="H27" i="1"/>
  <c r="I27" i="1"/>
  <c r="J27" i="1"/>
  <c r="K27" i="1"/>
  <c r="G28" i="1"/>
  <c r="H28" i="1"/>
  <c r="J28" i="1" s="1"/>
  <c r="I28" i="1"/>
  <c r="K28" i="1"/>
  <c r="G29" i="1"/>
  <c r="H29" i="1"/>
  <c r="I29" i="1"/>
  <c r="J29" i="1"/>
  <c r="K29" i="1"/>
  <c r="I187" i="1"/>
  <c r="K187" i="1" s="1"/>
  <c r="H187" i="1"/>
  <c r="J187" i="1" s="1"/>
  <c r="G187" i="1"/>
  <c r="I144" i="1"/>
  <c r="K144" i="1" s="1"/>
  <c r="H144" i="1"/>
  <c r="J144" i="1" s="1"/>
  <c r="G144" i="1"/>
  <c r="I84" i="1"/>
  <c r="K84" i="1" s="1"/>
  <c r="H84" i="1"/>
  <c r="J84" i="1" s="1"/>
  <c r="G84" i="1"/>
  <c r="I139" i="1"/>
  <c r="K139" i="1" s="1"/>
  <c r="H139" i="1"/>
  <c r="J139" i="1" s="1"/>
  <c r="G139" i="1"/>
  <c r="I186" i="1"/>
  <c r="K186" i="1" s="1"/>
  <c r="H186" i="1"/>
  <c r="J186" i="1" s="1"/>
  <c r="G186" i="1"/>
  <c r="I118" i="1"/>
  <c r="K118" i="1" s="1"/>
  <c r="H118" i="1"/>
  <c r="J118" i="1" s="1"/>
  <c r="G118" i="1"/>
  <c r="I91" i="1"/>
  <c r="K91" i="1" s="1"/>
  <c r="H91" i="1"/>
  <c r="J91" i="1" s="1"/>
  <c r="G91" i="1"/>
  <c r="I131" i="1"/>
  <c r="K131" i="1" s="1"/>
  <c r="H131" i="1"/>
  <c r="J131" i="1" s="1"/>
  <c r="G131" i="1"/>
  <c r="I60" i="1"/>
  <c r="K60" i="1" s="1"/>
  <c r="H60" i="1"/>
  <c r="J60" i="1" s="1"/>
  <c r="G60" i="1"/>
  <c r="J15" i="1"/>
  <c r="I15" i="1"/>
  <c r="K15" i="1" s="1"/>
  <c r="H15" i="1"/>
  <c r="G15" i="1"/>
  <c r="I67" i="1"/>
  <c r="K67" i="1" s="1"/>
  <c r="H67" i="1"/>
  <c r="J67" i="1" s="1"/>
  <c r="G67" i="1"/>
  <c r="I111" i="1"/>
  <c r="K111" i="1" s="1"/>
  <c r="H111" i="1"/>
  <c r="J111" i="1" s="1"/>
  <c r="G111" i="1"/>
  <c r="I75" i="1"/>
  <c r="K75" i="1" s="1"/>
  <c r="H75" i="1"/>
  <c r="J75" i="1" s="1"/>
  <c r="G75" i="1"/>
  <c r="I149" i="1"/>
  <c r="K149" i="1" s="1"/>
  <c r="H149" i="1"/>
  <c r="J149" i="1" s="1"/>
  <c r="G149" i="1"/>
  <c r="I55" i="1"/>
  <c r="K55" i="1" s="1"/>
  <c r="H55" i="1"/>
  <c r="J55" i="1" s="1"/>
  <c r="G55" i="1"/>
  <c r="I159" i="1"/>
  <c r="K159" i="1" s="1"/>
  <c r="H159" i="1"/>
  <c r="J159" i="1" s="1"/>
  <c r="G159" i="1"/>
  <c r="I73" i="1"/>
  <c r="K73" i="1" s="1"/>
  <c r="H73" i="1"/>
  <c r="J73" i="1" s="1"/>
  <c r="G73" i="1"/>
  <c r="I148" i="1"/>
  <c r="K148" i="1" s="1"/>
  <c r="H148" i="1"/>
  <c r="J148" i="1" s="1"/>
  <c r="G148" i="1"/>
  <c r="I163" i="1"/>
  <c r="K163" i="1" s="1"/>
  <c r="H163" i="1"/>
  <c r="J163" i="1" s="1"/>
  <c r="G163" i="1"/>
  <c r="I90" i="1"/>
  <c r="K90" i="1" s="1"/>
  <c r="H90" i="1"/>
  <c r="J90" i="1" s="1"/>
  <c r="G90" i="1"/>
  <c r="I52" i="1"/>
  <c r="K52" i="1" s="1"/>
  <c r="H52" i="1"/>
  <c r="J52" i="1" s="1"/>
  <c r="G52" i="1"/>
  <c r="I157" i="1"/>
  <c r="K157" i="1" s="1"/>
  <c r="H157" i="1"/>
  <c r="J157" i="1" s="1"/>
  <c r="G157" i="1"/>
  <c r="I99" i="1"/>
  <c r="K99" i="1" s="1"/>
  <c r="H99" i="1"/>
  <c r="J99" i="1" s="1"/>
  <c r="G99" i="1"/>
  <c r="I81" i="1"/>
  <c r="K81" i="1" s="1"/>
  <c r="H81" i="1"/>
  <c r="J81" i="1" s="1"/>
  <c r="G81" i="1"/>
  <c r="I175" i="1"/>
  <c r="K175" i="1" s="1"/>
  <c r="H175" i="1"/>
  <c r="J175" i="1" s="1"/>
  <c r="G175" i="1"/>
  <c r="I46" i="1"/>
  <c r="K46" i="1" s="1"/>
  <c r="H46" i="1"/>
  <c r="J46" i="1" s="1"/>
  <c r="G46" i="1"/>
  <c r="I147" i="1"/>
  <c r="K147" i="1" s="1"/>
  <c r="H147" i="1"/>
  <c r="J147" i="1" s="1"/>
  <c r="G147" i="1"/>
  <c r="I137" i="1"/>
  <c r="K137" i="1" s="1"/>
  <c r="H137" i="1"/>
  <c r="J137" i="1" s="1"/>
  <c r="G137" i="1"/>
  <c r="I78" i="1"/>
  <c r="K78" i="1" s="1"/>
  <c r="H78" i="1"/>
  <c r="J78" i="1" s="1"/>
  <c r="G78" i="1"/>
  <c r="I70" i="1"/>
  <c r="K70" i="1" s="1"/>
  <c r="H70" i="1"/>
  <c r="J70" i="1" s="1"/>
  <c r="G70" i="1"/>
  <c r="I123" i="1"/>
  <c r="K123" i="1" s="1"/>
  <c r="H123" i="1"/>
  <c r="J123" i="1" s="1"/>
  <c r="G123" i="1"/>
  <c r="I156" i="1"/>
  <c r="K156" i="1" s="1"/>
  <c r="H156" i="1"/>
  <c r="J156" i="1" s="1"/>
  <c r="G156" i="1"/>
  <c r="K158" i="1"/>
  <c r="I158" i="1"/>
  <c r="H158" i="1"/>
  <c r="J158" i="1" s="1"/>
  <c r="G158" i="1"/>
  <c r="I141" i="1"/>
  <c r="K141" i="1" s="1"/>
  <c r="H141" i="1"/>
  <c r="J141" i="1" s="1"/>
  <c r="G141" i="1"/>
  <c r="I20" i="1"/>
  <c r="K20" i="1" s="1"/>
  <c r="H20" i="1"/>
  <c r="J20" i="1" s="1"/>
  <c r="G20" i="1"/>
  <c r="I136" i="1"/>
  <c r="K136" i="1" s="1"/>
  <c r="H136" i="1"/>
  <c r="J136" i="1" s="1"/>
  <c r="G136" i="1"/>
  <c r="K47" i="1"/>
  <c r="I47" i="1"/>
  <c r="H47" i="1"/>
  <c r="J47" i="1" s="1"/>
  <c r="G47" i="1"/>
  <c r="I172" i="1"/>
  <c r="K172" i="1" s="1"/>
  <c r="H172" i="1"/>
  <c r="J172" i="1" s="1"/>
  <c r="G172" i="1"/>
  <c r="I39" i="1"/>
  <c r="K39" i="1" s="1"/>
  <c r="H39" i="1"/>
  <c r="J39" i="1" s="1"/>
  <c r="G39" i="1"/>
  <c r="I198" i="1"/>
  <c r="K198" i="1" s="1"/>
  <c r="H198" i="1"/>
  <c r="J198" i="1" s="1"/>
  <c r="G198" i="1"/>
  <c r="I117" i="1"/>
  <c r="K117" i="1" s="1"/>
  <c r="H117" i="1"/>
  <c r="J117" i="1" s="1"/>
  <c r="G117" i="1"/>
  <c r="I31" i="1"/>
  <c r="K31" i="1" s="1"/>
  <c r="H31" i="1"/>
  <c r="J31" i="1" s="1"/>
  <c r="G31" i="1"/>
  <c r="I108" i="1"/>
  <c r="K108" i="1" s="1"/>
  <c r="H108" i="1"/>
  <c r="J108" i="1" s="1"/>
  <c r="G108" i="1"/>
  <c r="I35" i="1"/>
  <c r="K35" i="1" s="1"/>
  <c r="H35" i="1"/>
  <c r="J35" i="1" s="1"/>
  <c r="G35" i="1"/>
  <c r="I57" i="1"/>
  <c r="K57" i="1" s="1"/>
  <c r="H57" i="1"/>
  <c r="J57" i="1" s="1"/>
  <c r="G57" i="1"/>
  <c r="I51" i="1"/>
  <c r="K51" i="1" s="1"/>
  <c r="H51" i="1"/>
  <c r="J51" i="1" s="1"/>
  <c r="G51" i="1"/>
  <c r="I116" i="1"/>
  <c r="K116" i="1" s="1"/>
  <c r="H116" i="1"/>
  <c r="J116" i="1" s="1"/>
  <c r="G116" i="1"/>
  <c r="I114" i="1"/>
  <c r="K114" i="1" s="1"/>
  <c r="H114" i="1"/>
  <c r="J114" i="1" s="1"/>
  <c r="G114" i="1"/>
  <c r="I34" i="1"/>
  <c r="K34" i="1" s="1"/>
  <c r="H34" i="1"/>
  <c r="J34" i="1" s="1"/>
  <c r="G34" i="1"/>
  <c r="I143" i="1"/>
  <c r="K143" i="1" s="1"/>
  <c r="H143" i="1"/>
  <c r="J143" i="1" s="1"/>
  <c r="G143" i="1"/>
  <c r="I89" i="1"/>
  <c r="K89" i="1" s="1"/>
  <c r="H89" i="1"/>
  <c r="J89" i="1" s="1"/>
  <c r="G89" i="1"/>
  <c r="I197" i="1"/>
  <c r="K197" i="1" s="1"/>
  <c r="H197" i="1"/>
  <c r="J197" i="1" s="1"/>
  <c r="G197" i="1"/>
  <c r="I98" i="1"/>
  <c r="K98" i="1" s="1"/>
  <c r="H98" i="1"/>
  <c r="J98" i="1" s="1"/>
  <c r="G98" i="1"/>
  <c r="I120" i="1"/>
  <c r="K120" i="1" s="1"/>
  <c r="H120" i="1"/>
  <c r="J120" i="1" s="1"/>
  <c r="G120" i="1"/>
  <c r="I130" i="1"/>
  <c r="K130" i="1" s="1"/>
  <c r="H130" i="1"/>
  <c r="J130" i="1" s="1"/>
  <c r="G130" i="1"/>
  <c r="I7" i="1"/>
  <c r="K7" i="1" s="1"/>
  <c r="H7" i="1"/>
  <c r="J7" i="1" s="1"/>
  <c r="G7" i="1"/>
  <c r="I185" i="1"/>
  <c r="K185" i="1" s="1"/>
  <c r="H185" i="1"/>
  <c r="J185" i="1" s="1"/>
  <c r="G185" i="1"/>
  <c r="I88" i="1"/>
  <c r="K88" i="1" s="1"/>
  <c r="H88" i="1"/>
  <c r="J88" i="1" s="1"/>
  <c r="G88" i="1"/>
  <c r="I37" i="1"/>
  <c r="K37" i="1" s="1"/>
  <c r="H37" i="1"/>
  <c r="J37" i="1" s="1"/>
  <c r="G37" i="1"/>
  <c r="I97" i="1"/>
  <c r="K97" i="1" s="1"/>
  <c r="H97" i="1"/>
  <c r="J97" i="1" s="1"/>
  <c r="G97" i="1"/>
  <c r="I138" i="1"/>
  <c r="K138" i="1" s="1"/>
  <c r="H138" i="1"/>
  <c r="J138" i="1" s="1"/>
  <c r="G138" i="1"/>
  <c r="I129" i="1"/>
  <c r="K129" i="1" s="1"/>
  <c r="H129" i="1"/>
  <c r="J129" i="1" s="1"/>
  <c r="G129" i="1"/>
  <c r="I113" i="1"/>
  <c r="K113" i="1" s="1"/>
  <c r="H113" i="1"/>
  <c r="J113" i="1" s="1"/>
  <c r="G113" i="1"/>
  <c r="I179" i="1"/>
  <c r="K179" i="1" s="1"/>
  <c r="H179" i="1"/>
  <c r="J179" i="1" s="1"/>
  <c r="G179" i="1"/>
  <c r="I44" i="1"/>
  <c r="K44" i="1" s="1"/>
  <c r="H44" i="1"/>
  <c r="J44" i="1" s="1"/>
  <c r="G44" i="1"/>
  <c r="I167" i="1"/>
  <c r="K167" i="1" s="1"/>
  <c r="H167" i="1"/>
  <c r="J167" i="1" s="1"/>
  <c r="G167" i="1"/>
  <c r="I128" i="1"/>
  <c r="K128" i="1" s="1"/>
  <c r="H128" i="1"/>
  <c r="J128" i="1" s="1"/>
  <c r="G128" i="1"/>
  <c r="I135" i="1"/>
  <c r="K135" i="1" s="1"/>
  <c r="H135" i="1"/>
  <c r="J135" i="1" s="1"/>
  <c r="G135" i="1"/>
  <c r="I103" i="1"/>
  <c r="K103" i="1" s="1"/>
  <c r="H103" i="1"/>
  <c r="J103" i="1" s="1"/>
  <c r="G103" i="1"/>
  <c r="I9" i="1"/>
  <c r="K9" i="1" s="1"/>
  <c r="H9" i="1"/>
  <c r="J9" i="1" s="1"/>
  <c r="G9" i="1"/>
  <c r="I87" i="1"/>
  <c r="K87" i="1" s="1"/>
  <c r="H87" i="1"/>
  <c r="J87" i="1" s="1"/>
  <c r="G87" i="1"/>
  <c r="I171" i="1"/>
  <c r="K171" i="1" s="1"/>
  <c r="H171" i="1"/>
  <c r="J171" i="1" s="1"/>
  <c r="G171" i="1"/>
  <c r="I102" i="1"/>
  <c r="K102" i="1" s="1"/>
  <c r="H102" i="1"/>
  <c r="J102" i="1" s="1"/>
  <c r="G102" i="1"/>
  <c r="I174" i="1"/>
  <c r="K174" i="1" s="1"/>
  <c r="H174" i="1"/>
  <c r="J174" i="1" s="1"/>
  <c r="G174" i="1"/>
  <c r="I22" i="1"/>
  <c r="K22" i="1" s="1"/>
  <c r="H22" i="1"/>
  <c r="J22" i="1" s="1"/>
  <c r="G22" i="1"/>
  <c r="I43" i="1"/>
  <c r="K43" i="1" s="1"/>
  <c r="H43" i="1"/>
  <c r="J43" i="1" s="1"/>
  <c r="G43" i="1"/>
  <c r="I162" i="1"/>
  <c r="K162" i="1" s="1"/>
  <c r="H162" i="1"/>
  <c r="J162" i="1" s="1"/>
  <c r="G162" i="1"/>
  <c r="I21" i="1"/>
  <c r="K21" i="1" s="1"/>
  <c r="H21" i="1"/>
  <c r="J21" i="1" s="1"/>
  <c r="G21" i="1"/>
  <c r="I101" i="1"/>
  <c r="K101" i="1" s="1"/>
  <c r="H101" i="1"/>
  <c r="J101" i="1" s="1"/>
  <c r="G101" i="1"/>
  <c r="I95" i="1"/>
  <c r="K95" i="1" s="1"/>
  <c r="H95" i="1"/>
  <c r="J95" i="1" s="1"/>
  <c r="G95" i="1"/>
  <c r="I16" i="1"/>
  <c r="K16" i="1" s="1"/>
  <c r="H16" i="1"/>
  <c r="J16" i="1" s="1"/>
  <c r="G16" i="1"/>
  <c r="I63" i="1"/>
  <c r="K63" i="1" s="1"/>
  <c r="H63" i="1"/>
  <c r="J63" i="1" s="1"/>
  <c r="G63" i="1"/>
  <c r="I4" i="1"/>
  <c r="K4" i="1" s="1"/>
  <c r="H4" i="1"/>
  <c r="J4" i="1" s="1"/>
  <c r="G4" i="1"/>
  <c r="I115" i="1"/>
  <c r="K115" i="1" s="1"/>
  <c r="H115" i="1"/>
  <c r="J115" i="1" s="1"/>
  <c r="G115" i="1"/>
  <c r="I61" i="1"/>
  <c r="K61" i="1" s="1"/>
  <c r="H61" i="1"/>
  <c r="J61" i="1" s="1"/>
  <c r="G61" i="1"/>
  <c r="I155" i="1"/>
  <c r="K155" i="1" s="1"/>
  <c r="H155" i="1"/>
  <c r="J155" i="1" s="1"/>
  <c r="G155" i="1"/>
  <c r="I94" i="1"/>
  <c r="K94" i="1" s="1"/>
  <c r="H94" i="1"/>
  <c r="J94" i="1" s="1"/>
  <c r="G94" i="1"/>
  <c r="I154" i="1"/>
  <c r="K154" i="1" s="1"/>
  <c r="H154" i="1"/>
  <c r="J154" i="1" s="1"/>
  <c r="G154" i="1"/>
  <c r="I93" i="1"/>
  <c r="K93" i="1" s="1"/>
  <c r="H93" i="1"/>
  <c r="J93" i="1" s="1"/>
  <c r="G93" i="1"/>
  <c r="I83" i="1"/>
  <c r="K83" i="1" s="1"/>
  <c r="H83" i="1"/>
  <c r="J83" i="1" s="1"/>
  <c r="G83" i="1"/>
  <c r="I54" i="1"/>
  <c r="K54" i="1" s="1"/>
  <c r="H54" i="1"/>
  <c r="J54" i="1" s="1"/>
  <c r="G54" i="1"/>
  <c r="I65" i="1"/>
  <c r="K65" i="1" s="1"/>
  <c r="H65" i="1"/>
  <c r="J65" i="1" s="1"/>
  <c r="G65" i="1"/>
  <c r="I106" i="1"/>
  <c r="K106" i="1" s="1"/>
  <c r="H106" i="1"/>
  <c r="J106" i="1" s="1"/>
  <c r="G106" i="1"/>
  <c r="I105" i="1"/>
  <c r="K105" i="1" s="1"/>
  <c r="H105" i="1"/>
  <c r="J105" i="1" s="1"/>
  <c r="G105" i="1"/>
  <c r="I122" i="1"/>
  <c r="K122" i="1" s="1"/>
  <c r="H122" i="1"/>
  <c r="J122" i="1" s="1"/>
  <c r="G122" i="1"/>
  <c r="I18" i="1"/>
  <c r="K18" i="1" s="1"/>
  <c r="H18" i="1"/>
  <c r="J18" i="1" s="1"/>
  <c r="G18" i="1"/>
  <c r="I96" i="1"/>
  <c r="K96" i="1" s="1"/>
  <c r="H96" i="1"/>
  <c r="J96" i="1" s="1"/>
  <c r="G96" i="1"/>
  <c r="I85" i="1"/>
  <c r="K85" i="1" s="1"/>
  <c r="H85" i="1"/>
  <c r="J85" i="1" s="1"/>
  <c r="G85" i="1"/>
  <c r="I142" i="1"/>
  <c r="K142" i="1" s="1"/>
  <c r="H142" i="1"/>
  <c r="J142" i="1" s="1"/>
  <c r="G142" i="1"/>
  <c r="I59" i="1"/>
  <c r="K59" i="1" s="1"/>
  <c r="H59" i="1"/>
  <c r="J59" i="1" s="1"/>
  <c r="G59" i="1"/>
  <c r="I146" i="1"/>
  <c r="K146" i="1" s="1"/>
  <c r="H146" i="1"/>
  <c r="J146" i="1" s="1"/>
  <c r="G146" i="1"/>
  <c r="I58" i="1"/>
  <c r="K58" i="1" s="1"/>
  <c r="H58" i="1"/>
  <c r="J58" i="1" s="1"/>
  <c r="G58" i="1"/>
  <c r="I178" i="1"/>
  <c r="K178" i="1" s="1"/>
  <c r="H178" i="1"/>
  <c r="J178" i="1" s="1"/>
  <c r="G178" i="1"/>
  <c r="I196" i="1"/>
  <c r="K196" i="1" s="1"/>
  <c r="H196" i="1"/>
  <c r="J196" i="1" s="1"/>
  <c r="G196" i="1"/>
  <c r="I74" i="1"/>
  <c r="K74" i="1" s="1"/>
  <c r="H74" i="1"/>
  <c r="J74" i="1" s="1"/>
  <c r="G74" i="1"/>
  <c r="I50" i="1"/>
  <c r="K50" i="1" s="1"/>
  <c r="H50" i="1"/>
  <c r="J50" i="1" s="1"/>
  <c r="G50" i="1"/>
  <c r="I134" i="1"/>
  <c r="K134" i="1" s="1"/>
  <c r="H134" i="1"/>
  <c r="J134" i="1" s="1"/>
  <c r="G134" i="1"/>
  <c r="I201" i="1"/>
  <c r="K201" i="1" s="1"/>
  <c r="H201" i="1"/>
  <c r="J201" i="1" s="1"/>
  <c r="G201" i="1"/>
  <c r="I76" i="1"/>
  <c r="K76" i="1" s="1"/>
  <c r="H76" i="1"/>
  <c r="J76" i="1" s="1"/>
  <c r="G76" i="1"/>
  <c r="I153" i="1"/>
  <c r="K153" i="1" s="1"/>
  <c r="H153" i="1"/>
  <c r="J153" i="1" s="1"/>
  <c r="G153" i="1"/>
  <c r="I92" i="1"/>
  <c r="K92" i="1" s="1"/>
  <c r="H92" i="1"/>
  <c r="J92" i="1" s="1"/>
  <c r="G92" i="1"/>
  <c r="I112" i="1"/>
  <c r="K112" i="1" s="1"/>
  <c r="H112" i="1"/>
  <c r="J112" i="1" s="1"/>
  <c r="G112" i="1"/>
  <c r="I86" i="1"/>
  <c r="K86" i="1" s="1"/>
  <c r="H86" i="1"/>
  <c r="J86" i="1" s="1"/>
  <c r="G86" i="1"/>
  <c r="I195" i="1"/>
  <c r="K195" i="1" s="1"/>
  <c r="H195" i="1"/>
  <c r="J195" i="1" s="1"/>
  <c r="G195" i="1"/>
  <c r="I170" i="1"/>
  <c r="K170" i="1" s="1"/>
  <c r="H170" i="1"/>
  <c r="J170" i="1" s="1"/>
  <c r="G170" i="1"/>
  <c r="I169" i="1"/>
  <c r="K169" i="1" s="1"/>
  <c r="H169" i="1"/>
  <c r="J169" i="1" s="1"/>
  <c r="G169" i="1"/>
  <c r="I166" i="1"/>
  <c r="K166" i="1" s="1"/>
  <c r="H166" i="1"/>
  <c r="J166" i="1" s="1"/>
  <c r="G166" i="1"/>
  <c r="I177" i="1"/>
  <c r="K177" i="1" s="1"/>
  <c r="H177" i="1"/>
  <c r="J177" i="1" s="1"/>
  <c r="G177" i="1"/>
  <c r="I184" i="1"/>
  <c r="K184" i="1" s="1"/>
  <c r="H184" i="1"/>
  <c r="J184" i="1" s="1"/>
  <c r="G184" i="1"/>
  <c r="I71" i="1"/>
  <c r="K71" i="1" s="1"/>
  <c r="H71" i="1"/>
  <c r="J71" i="1" s="1"/>
  <c r="G71" i="1"/>
  <c r="I119" i="1"/>
  <c r="K119" i="1" s="1"/>
  <c r="H119" i="1"/>
  <c r="J119" i="1" s="1"/>
  <c r="G119" i="1"/>
  <c r="I77" i="1"/>
  <c r="K77" i="1" s="1"/>
  <c r="H77" i="1"/>
  <c r="J77" i="1" s="1"/>
  <c r="G77" i="1"/>
  <c r="I127" i="1"/>
  <c r="K127" i="1" s="1"/>
  <c r="H127" i="1"/>
  <c r="J127" i="1" s="1"/>
  <c r="G127" i="1"/>
  <c r="I194" i="1"/>
  <c r="K194" i="1" s="1"/>
  <c r="H194" i="1"/>
  <c r="J194" i="1" s="1"/>
  <c r="G194" i="1"/>
  <c r="I64" i="1"/>
  <c r="K64" i="1" s="1"/>
  <c r="H64" i="1"/>
  <c r="J64" i="1" s="1"/>
  <c r="G64" i="1"/>
  <c r="I165" i="1"/>
  <c r="K165" i="1" s="1"/>
  <c r="H165" i="1"/>
  <c r="J165" i="1" s="1"/>
  <c r="G165" i="1"/>
  <c r="I110" i="1"/>
  <c r="K110" i="1" s="1"/>
  <c r="H110" i="1"/>
  <c r="J110" i="1" s="1"/>
  <c r="G110" i="1"/>
  <c r="I42" i="1"/>
  <c r="K42" i="1" s="1"/>
  <c r="H42" i="1"/>
  <c r="J42" i="1" s="1"/>
  <c r="G42" i="1"/>
  <c r="I82" i="1"/>
  <c r="K82" i="1" s="1"/>
  <c r="H82" i="1"/>
  <c r="J82" i="1" s="1"/>
  <c r="G82" i="1"/>
  <c r="I69" i="1"/>
  <c r="K69" i="1" s="1"/>
  <c r="H69" i="1"/>
  <c r="J69" i="1" s="1"/>
  <c r="G69" i="1"/>
  <c r="I200" i="1"/>
  <c r="K200" i="1" s="1"/>
  <c r="H200" i="1"/>
  <c r="J200" i="1" s="1"/>
  <c r="G200" i="1"/>
  <c r="I183" i="1"/>
  <c r="K183" i="1" s="1"/>
  <c r="H183" i="1"/>
  <c r="J183" i="1" s="1"/>
  <c r="G183" i="1"/>
  <c r="I66" i="1"/>
  <c r="K66" i="1" s="1"/>
  <c r="H66" i="1"/>
  <c r="J66" i="1" s="1"/>
  <c r="G66" i="1"/>
  <c r="I49" i="1"/>
  <c r="K49" i="1" s="1"/>
  <c r="H49" i="1"/>
  <c r="J49" i="1" s="1"/>
  <c r="G49" i="1"/>
  <c r="I164" i="1"/>
  <c r="K164" i="1" s="1"/>
  <c r="H164" i="1"/>
  <c r="J164" i="1" s="1"/>
  <c r="G164" i="1"/>
  <c r="I11" i="1"/>
  <c r="K11" i="1" s="1"/>
  <c r="H11" i="1"/>
  <c r="J11" i="1" s="1"/>
  <c r="G11" i="1"/>
  <c r="I126" i="1"/>
  <c r="K126" i="1" s="1"/>
  <c r="H126" i="1"/>
  <c r="J126" i="1" s="1"/>
  <c r="G126" i="1"/>
  <c r="I72" i="1"/>
  <c r="K72" i="1" s="1"/>
  <c r="H72" i="1"/>
  <c r="J72" i="1" s="1"/>
  <c r="G72" i="1"/>
  <c r="I182" i="1"/>
  <c r="K182" i="1" s="1"/>
  <c r="H182" i="1"/>
  <c r="J182" i="1" s="1"/>
  <c r="G182" i="1"/>
  <c r="I193" i="1"/>
  <c r="K193" i="1" s="1"/>
  <c r="H193" i="1"/>
  <c r="J193" i="1" s="1"/>
  <c r="G193" i="1"/>
  <c r="I62" i="1"/>
  <c r="K62" i="1" s="1"/>
  <c r="H62" i="1"/>
  <c r="J62" i="1" s="1"/>
  <c r="G62" i="1"/>
  <c r="I56" i="1"/>
  <c r="K56" i="1" s="1"/>
  <c r="H56" i="1"/>
  <c r="J56" i="1" s="1"/>
  <c r="G56" i="1"/>
  <c r="I192" i="1"/>
  <c r="K192" i="1" s="1"/>
  <c r="H192" i="1"/>
  <c r="J192" i="1" s="1"/>
  <c r="G192" i="1"/>
  <c r="I32" i="1"/>
  <c r="K32" i="1" s="1"/>
  <c r="H32" i="1"/>
  <c r="J32" i="1" s="1"/>
  <c r="G32" i="1"/>
  <c r="I53" i="1"/>
  <c r="K53" i="1" s="1"/>
  <c r="H53" i="1"/>
  <c r="J53" i="1" s="1"/>
  <c r="G53" i="1"/>
  <c r="I140" i="1"/>
  <c r="K140" i="1" s="1"/>
  <c r="H140" i="1"/>
  <c r="J140" i="1" s="1"/>
  <c r="G140" i="1"/>
  <c r="I109" i="1"/>
  <c r="K109" i="1" s="1"/>
  <c r="H109" i="1"/>
  <c r="J109" i="1" s="1"/>
  <c r="G109" i="1"/>
  <c r="I168" i="1"/>
  <c r="K168" i="1" s="1"/>
  <c r="H168" i="1"/>
  <c r="J168" i="1" s="1"/>
  <c r="G168" i="1"/>
  <c r="I80" i="1"/>
  <c r="K80" i="1" s="1"/>
  <c r="H80" i="1"/>
  <c r="J80" i="1" s="1"/>
  <c r="G80" i="1"/>
  <c r="I121" i="1"/>
  <c r="K121" i="1" s="1"/>
  <c r="H121" i="1"/>
  <c r="J121" i="1" s="1"/>
  <c r="G121" i="1"/>
  <c r="I107" i="1"/>
  <c r="K107" i="1" s="1"/>
  <c r="H107" i="1"/>
  <c r="J107" i="1" s="1"/>
  <c r="G107" i="1"/>
  <c r="I48" i="1"/>
  <c r="K48" i="1" s="1"/>
  <c r="H48" i="1"/>
  <c r="J48" i="1" s="1"/>
  <c r="G48" i="1"/>
  <c r="I45" i="1"/>
  <c r="K45" i="1" s="1"/>
  <c r="H45" i="1"/>
  <c r="J45" i="1" s="1"/>
  <c r="G45" i="1"/>
  <c r="I100" i="1"/>
  <c r="K100" i="1" s="1"/>
  <c r="H100" i="1"/>
  <c r="J100" i="1" s="1"/>
  <c r="G100" i="1"/>
  <c r="I191" i="1"/>
  <c r="K191" i="1" s="1"/>
  <c r="H191" i="1"/>
  <c r="J191" i="1" s="1"/>
  <c r="G191" i="1"/>
  <c r="I125" i="1"/>
  <c r="K125" i="1" s="1"/>
  <c r="H125" i="1"/>
  <c r="J125" i="1" s="1"/>
  <c r="G125" i="1"/>
  <c r="I41" i="1"/>
  <c r="K41" i="1" s="1"/>
  <c r="H41" i="1"/>
  <c r="J41" i="1" s="1"/>
  <c r="G41" i="1"/>
  <c r="I161" i="1"/>
  <c r="K161" i="1" s="1"/>
  <c r="H161" i="1"/>
  <c r="J161" i="1" s="1"/>
  <c r="G161" i="1"/>
  <c r="I6" i="1"/>
  <c r="K6" i="1" s="1"/>
  <c r="H6" i="1"/>
  <c r="J6" i="1" s="1"/>
  <c r="G6" i="1"/>
  <c r="I38" i="1"/>
  <c r="K38" i="1" s="1"/>
  <c r="H38" i="1"/>
  <c r="J38" i="1" s="1"/>
  <c r="G38" i="1"/>
  <c r="I145" i="1"/>
  <c r="K145" i="1" s="1"/>
  <c r="H145" i="1"/>
  <c r="J145" i="1" s="1"/>
  <c r="G145" i="1"/>
  <c r="I36" i="1"/>
  <c r="K36" i="1" s="1"/>
  <c r="H36" i="1"/>
  <c r="J36" i="1" s="1"/>
  <c r="G36" i="1"/>
  <c r="I40" i="1"/>
  <c r="K40" i="1" s="1"/>
  <c r="H40" i="1"/>
  <c r="J40" i="1" s="1"/>
  <c r="G40" i="1"/>
  <c r="I104" i="1"/>
  <c r="K104" i="1" s="1"/>
  <c r="H104" i="1"/>
  <c r="J104" i="1" s="1"/>
  <c r="G104" i="1"/>
  <c r="I33" i="1"/>
  <c r="K33" i="1" s="1"/>
  <c r="H33" i="1"/>
  <c r="J33" i="1" s="1"/>
  <c r="G33" i="1"/>
  <c r="I79" i="1"/>
  <c r="K79" i="1" s="1"/>
  <c r="H79" i="1"/>
  <c r="J79" i="1" s="1"/>
  <c r="G79" i="1"/>
  <c r="I30" i="1"/>
  <c r="K30" i="1" s="1"/>
  <c r="H30" i="1"/>
  <c r="J30" i="1" s="1"/>
  <c r="G30" i="1"/>
  <c r="I176" i="1"/>
  <c r="K176" i="1" s="1"/>
  <c r="H176" i="1"/>
  <c r="J176" i="1" s="1"/>
  <c r="G176" i="1"/>
  <c r="I133" i="1"/>
  <c r="K133" i="1" s="1"/>
  <c r="H133" i="1"/>
  <c r="J133" i="1" s="1"/>
  <c r="G133" i="1"/>
  <c r="I152" i="1"/>
  <c r="K152" i="1" s="1"/>
  <c r="H152" i="1"/>
  <c r="J152" i="1" s="1"/>
  <c r="G152" i="1"/>
  <c r="I190" i="1"/>
  <c r="K190" i="1" s="1"/>
  <c r="H190" i="1"/>
  <c r="J190" i="1" s="1"/>
  <c r="G190" i="1"/>
  <c r="I25" i="1"/>
  <c r="K25" i="1" s="1"/>
  <c r="H25" i="1"/>
  <c r="J25" i="1" s="1"/>
  <c r="G25" i="1"/>
  <c r="I24" i="1"/>
  <c r="K24" i="1" s="1"/>
  <c r="H24" i="1"/>
  <c r="J24" i="1" s="1"/>
  <c r="G24" i="1"/>
  <c r="I199" i="1"/>
  <c r="K199" i="1" s="1"/>
  <c r="H199" i="1"/>
  <c r="J199" i="1" s="1"/>
  <c r="G199" i="1"/>
  <c r="I68" i="1"/>
  <c r="K68" i="1" s="1"/>
  <c r="H68" i="1"/>
  <c r="J68" i="1" s="1"/>
  <c r="G68" i="1"/>
  <c r="I173" i="1"/>
  <c r="K173" i="1" s="1"/>
  <c r="H173" i="1"/>
  <c r="J173" i="1" s="1"/>
  <c r="G173" i="1"/>
  <c r="I181" i="1"/>
  <c r="K181" i="1" s="1"/>
  <c r="H181" i="1"/>
  <c r="J181" i="1" s="1"/>
  <c r="G181" i="1"/>
  <c r="I19" i="1"/>
  <c r="K19" i="1" s="1"/>
  <c r="H19" i="1"/>
  <c r="J19" i="1" s="1"/>
  <c r="G19" i="1"/>
  <c r="I124" i="1"/>
  <c r="K124" i="1" s="1"/>
  <c r="H124" i="1"/>
  <c r="J124" i="1" s="1"/>
  <c r="G124" i="1"/>
  <c r="I17" i="1"/>
  <c r="K17" i="1" s="1"/>
  <c r="H17" i="1"/>
  <c r="J17" i="1" s="1"/>
  <c r="G17" i="1"/>
  <c r="I151" i="1"/>
  <c r="K151" i="1" s="1"/>
  <c r="H151" i="1"/>
  <c r="J151" i="1" s="1"/>
  <c r="G151" i="1"/>
  <c r="I160" i="1"/>
  <c r="K160" i="1" s="1"/>
  <c r="H160" i="1"/>
  <c r="J160" i="1" s="1"/>
  <c r="G160" i="1"/>
  <c r="I14" i="1"/>
  <c r="K14" i="1" s="1"/>
  <c r="H14" i="1"/>
  <c r="J14" i="1" s="1"/>
  <c r="G14" i="1"/>
  <c r="I13" i="1"/>
  <c r="K13" i="1" s="1"/>
  <c r="H13" i="1"/>
  <c r="J13" i="1" s="1"/>
  <c r="G13" i="1"/>
  <c r="I12" i="1"/>
  <c r="K12" i="1" s="1"/>
  <c r="H12" i="1"/>
  <c r="J12" i="1" s="1"/>
  <c r="G12" i="1"/>
  <c r="I180" i="1"/>
  <c r="K180" i="1" s="1"/>
  <c r="H180" i="1"/>
  <c r="J180" i="1" s="1"/>
  <c r="G180" i="1"/>
  <c r="I10" i="1"/>
  <c r="K10" i="1" s="1"/>
  <c r="H10" i="1"/>
  <c r="J10" i="1" s="1"/>
  <c r="G10" i="1"/>
  <c r="K150" i="1"/>
  <c r="I150" i="1"/>
  <c r="H150" i="1"/>
  <c r="J150" i="1" s="1"/>
  <c r="G150" i="1"/>
  <c r="I8" i="1"/>
  <c r="K8" i="1" s="1"/>
  <c r="H8" i="1"/>
  <c r="J8" i="1" s="1"/>
  <c r="G8" i="1"/>
  <c r="I132" i="1"/>
  <c r="K132" i="1" s="1"/>
  <c r="H132" i="1"/>
  <c r="J132" i="1" s="1"/>
  <c r="G132" i="1"/>
  <c r="I189" i="1"/>
  <c r="K189" i="1" s="1"/>
  <c r="H189" i="1"/>
  <c r="J189" i="1" s="1"/>
  <c r="G189" i="1"/>
  <c r="I5" i="1"/>
  <c r="K5" i="1" s="1"/>
  <c r="H5" i="1"/>
  <c r="J5" i="1" s="1"/>
  <c r="G5" i="1"/>
  <c r="I188" i="1"/>
  <c r="K188" i="1" s="1"/>
  <c r="H188" i="1"/>
  <c r="J188" i="1" s="1"/>
  <c r="G188" i="1"/>
  <c r="I3" i="1"/>
  <c r="K3" i="1" s="1"/>
  <c r="H3" i="1"/>
  <c r="J3" i="1" s="1"/>
  <c r="G3" i="1"/>
  <c r="I2" i="1"/>
  <c r="K2" i="1" s="1"/>
  <c r="H2" i="1"/>
  <c r="J2" i="1" s="1"/>
  <c r="G2" i="1"/>
</calcChain>
</file>

<file path=xl/sharedStrings.xml><?xml version="1.0" encoding="utf-8"?>
<sst xmlns="http://schemas.openxmlformats.org/spreadsheetml/2006/main" count="442" uniqueCount="397">
  <si>
    <t>Coin Name</t>
  </si>
  <si>
    <t>Symbol</t>
  </si>
  <si>
    <t>Current Price</t>
  </si>
  <si>
    <t>1H Change %</t>
  </si>
  <si>
    <t>24H Change %</t>
  </si>
  <si>
    <t>7D Change %</t>
  </si>
  <si>
    <t>Bitcoin</t>
  </si>
  <si>
    <t>BTC</t>
  </si>
  <si>
    <t>Ethereum</t>
  </si>
  <si>
    <t>ETH</t>
  </si>
  <si>
    <t>Tether</t>
  </si>
  <si>
    <t>USDT</t>
  </si>
  <si>
    <t>BNB</t>
  </si>
  <si>
    <t>USDC</t>
  </si>
  <si>
    <t>XRP</t>
  </si>
  <si>
    <t>Solana</t>
  </si>
  <si>
    <t>SOL</t>
  </si>
  <si>
    <t>TRON</t>
  </si>
  <si>
    <t>TRX</t>
  </si>
  <si>
    <t>Hyperliquid</t>
  </si>
  <si>
    <t>HYPE</t>
  </si>
  <si>
    <t>Dogecoin</t>
  </si>
  <si>
    <t>DOGE</t>
  </si>
  <si>
    <t>UNUS SED LEO</t>
  </si>
  <si>
    <t>LEO</t>
  </si>
  <si>
    <t>Zcash</t>
  </si>
  <si>
    <t>ZEC</t>
  </si>
  <si>
    <t>Monero</t>
  </si>
  <si>
    <t>XMR</t>
  </si>
  <si>
    <t>Stellar</t>
  </si>
  <si>
    <t>XLM</t>
  </si>
  <si>
    <t>Cardano</t>
  </si>
  <si>
    <t>ADA</t>
  </si>
  <si>
    <t>Chainlink</t>
  </si>
  <si>
    <t>LINK</t>
  </si>
  <si>
    <t>Canton</t>
  </si>
  <si>
    <t>CC</t>
  </si>
  <si>
    <t>Bitcoin Cash</t>
  </si>
  <si>
    <t>BCH</t>
  </si>
  <si>
    <t>Dai</t>
  </si>
  <si>
    <t>DAI</t>
  </si>
  <si>
    <t>World Liberty Financial USD</t>
  </si>
  <si>
    <t>USD1</t>
  </si>
  <si>
    <t>Gram (prev. Toncoin)</t>
  </si>
  <si>
    <t>GRAM</t>
  </si>
  <si>
    <t>Ethena USDe</t>
  </si>
  <si>
    <t>USDe</t>
  </si>
  <si>
    <t>DeXe</t>
  </si>
  <si>
    <t>DEXE</t>
  </si>
  <si>
    <t>Litecoin</t>
  </si>
  <si>
    <t>LTC</t>
  </si>
  <si>
    <t>Global Dollar</t>
  </si>
  <si>
    <t>USDG</t>
  </si>
  <si>
    <t>Sui</t>
  </si>
  <si>
    <t>SUI</t>
  </si>
  <si>
    <t>Hedera</t>
  </si>
  <si>
    <t>HBAR</t>
  </si>
  <si>
    <t>PayPal USD</t>
  </si>
  <si>
    <t>PYUSD</t>
  </si>
  <si>
    <t>Avalanche</t>
  </si>
  <si>
    <t>AVAX</t>
  </si>
  <si>
    <t>NEAR Protocol</t>
  </si>
  <si>
    <t>NEAR</t>
  </si>
  <si>
    <t>Cronos</t>
  </si>
  <si>
    <t>CRO</t>
  </si>
  <si>
    <t>Tether Gold</t>
  </si>
  <si>
    <t>XAUt</t>
  </si>
  <si>
    <t>Shiba Inu</t>
  </si>
  <si>
    <t>SHIB</t>
  </si>
  <si>
    <t>Uniswap</t>
  </si>
  <si>
    <t>UNI</t>
  </si>
  <si>
    <t>Bittensor</t>
  </si>
  <si>
    <t>TAO</t>
  </si>
  <si>
    <t>World Liberty Financial</t>
  </si>
  <si>
    <t>WLFI</t>
  </si>
  <si>
    <t>PAX Gold</t>
  </si>
  <si>
    <t>PAXG</t>
  </si>
  <si>
    <t>MemeCore</t>
  </si>
  <si>
    <t>M</t>
  </si>
  <si>
    <t>Aster</t>
  </si>
  <si>
    <t>ASTER</t>
  </si>
  <si>
    <t>OKB</t>
  </si>
  <si>
    <t>USDD</t>
  </si>
  <si>
    <t>Ripple USD</t>
  </si>
  <si>
    <t>RLUSD</t>
  </si>
  <si>
    <t>Ondo</t>
  </si>
  <si>
    <t>ONDO</t>
  </si>
  <si>
    <t>Aave</t>
  </si>
  <si>
    <t>AAVE</t>
  </si>
  <si>
    <t>Worldcoin</t>
  </si>
  <si>
    <t>WLD</t>
  </si>
  <si>
    <t>Polkadot</t>
  </si>
  <si>
    <t>DOT</t>
  </si>
  <si>
    <t>Sky</t>
  </si>
  <si>
    <t>SKY</t>
  </si>
  <si>
    <t>Mantle</t>
  </si>
  <si>
    <t>MNT</t>
  </si>
  <si>
    <t>Internet Computer</t>
  </si>
  <si>
    <t>ICP</t>
  </si>
  <si>
    <t>Bitget Token</t>
  </si>
  <si>
    <t>BGB</t>
  </si>
  <si>
    <t>Pepe</t>
  </si>
  <si>
    <t>PEPE</t>
  </si>
  <si>
    <t>Ethereum Classic</t>
  </si>
  <si>
    <t>ETC</t>
  </si>
  <si>
    <t>Morpho</t>
  </si>
  <si>
    <t>MORPHO</t>
  </si>
  <si>
    <t>United Stables</t>
  </si>
  <si>
    <t>U</t>
  </si>
  <si>
    <t>KuCoin Token</t>
  </si>
  <si>
    <t>KCS</t>
  </si>
  <si>
    <t>Stable</t>
  </si>
  <si>
    <t>STABLE</t>
  </si>
  <si>
    <t>Polygon (prev. MATIC)</t>
  </si>
  <si>
    <t>POL</t>
  </si>
  <si>
    <t>JUST</t>
  </si>
  <si>
    <t>JST</t>
  </si>
  <si>
    <t>Audiera</t>
  </si>
  <si>
    <t>BEAT</t>
  </si>
  <si>
    <t>Cosmos</t>
  </si>
  <si>
    <t>ATOM</t>
  </si>
  <si>
    <t>Ethena</t>
  </si>
  <si>
    <t>ENA</t>
  </si>
  <si>
    <t>Pi</t>
  </si>
  <si>
    <t>PI</t>
  </si>
  <si>
    <t>Kaspa</t>
  </si>
  <si>
    <t>KAS</t>
  </si>
  <si>
    <t>Render</t>
  </si>
  <si>
    <t>RENDER</t>
  </si>
  <si>
    <t>Quant</t>
  </si>
  <si>
    <t>QNT</t>
  </si>
  <si>
    <t>Algorand</t>
  </si>
  <si>
    <t>ALGO</t>
  </si>
  <si>
    <t>币安人生</t>
  </si>
  <si>
    <t>GateToken</t>
  </si>
  <si>
    <t>GT</t>
  </si>
  <si>
    <t>Jupiter</t>
  </si>
  <si>
    <t>JUP</t>
  </si>
  <si>
    <t>Lighter</t>
  </si>
  <si>
    <t>LIT</t>
  </si>
  <si>
    <t>Filecoin</t>
  </si>
  <si>
    <t>FIL</t>
  </si>
  <si>
    <t>Pump.fun</t>
  </si>
  <si>
    <t>PUMP</t>
  </si>
  <si>
    <t>Arbitrum</t>
  </si>
  <si>
    <t>ARB</t>
  </si>
  <si>
    <t>XDC Network</t>
  </si>
  <si>
    <t>XDC</t>
  </si>
  <si>
    <t>Flare</t>
  </si>
  <si>
    <t>FLR</t>
  </si>
  <si>
    <t>Venice Token</t>
  </si>
  <si>
    <t>VVV</t>
  </si>
  <si>
    <t>Aptos</t>
  </si>
  <si>
    <t>APT</t>
  </si>
  <si>
    <t>Injective</t>
  </si>
  <si>
    <t>INJ</t>
  </si>
  <si>
    <t>TrueUSD</t>
  </si>
  <si>
    <t>TUSD</t>
  </si>
  <si>
    <t>Midnight</t>
  </si>
  <si>
    <t>NIGHT</t>
  </si>
  <si>
    <t>Aerodrome Finance</t>
  </si>
  <si>
    <t>AERO</t>
  </si>
  <si>
    <t>Nexo</t>
  </si>
  <si>
    <t>NEXO</t>
  </si>
  <si>
    <t>PancakeSwap</t>
  </si>
  <si>
    <t>CAKE</t>
  </si>
  <si>
    <t>EURC</t>
  </si>
  <si>
    <t>Dash</t>
  </si>
  <si>
    <t>DASH</t>
  </si>
  <si>
    <t>VeChain</t>
  </si>
  <si>
    <t>VET</t>
  </si>
  <si>
    <t>Celestia</t>
  </si>
  <si>
    <t>TIA</t>
  </si>
  <si>
    <t>Virtuals Protocol</t>
  </si>
  <si>
    <t>VIRTUAL</t>
  </si>
  <si>
    <t>Pyth Network</t>
  </si>
  <si>
    <t>PYTH</t>
  </si>
  <si>
    <t>ether.fi</t>
  </si>
  <si>
    <t>ETHFI</t>
  </si>
  <si>
    <t>Pudgy Penguins</t>
  </si>
  <si>
    <t>PENGU</t>
  </si>
  <si>
    <t>OFFICIAL TRUMP</t>
  </si>
  <si>
    <t>TRUMP</t>
  </si>
  <si>
    <t>Artificial Superintelligence Alliance</t>
  </si>
  <si>
    <t>FET</t>
  </si>
  <si>
    <t>Sun [New]</t>
  </si>
  <si>
    <t>SUN</t>
  </si>
  <si>
    <t>First Digital USD</t>
  </si>
  <si>
    <t>FDUSD</t>
  </si>
  <si>
    <t>Sei</t>
  </si>
  <si>
    <t>SEI</t>
  </si>
  <si>
    <t>Curve DAO Token</t>
  </si>
  <si>
    <t>CRV</t>
  </si>
  <si>
    <t>Bonk</t>
  </si>
  <si>
    <t>BONK</t>
  </si>
  <si>
    <t>SPX6900</t>
  </si>
  <si>
    <t>SPX</t>
  </si>
  <si>
    <t>Terra Classic</t>
  </si>
  <si>
    <t>LUNC</t>
  </si>
  <si>
    <t>Jito</t>
  </si>
  <si>
    <t>JTO</t>
  </si>
  <si>
    <t>LayerZero</t>
  </si>
  <si>
    <t>ZRO</t>
  </si>
  <si>
    <t>Stacks</t>
  </si>
  <si>
    <t>STX</t>
  </si>
  <si>
    <t>Gnosis</t>
  </si>
  <si>
    <t>GNO</t>
  </si>
  <si>
    <t>Bitcoin SV</t>
  </si>
  <si>
    <t>BSV</t>
  </si>
  <si>
    <t>Lido DAO</t>
  </si>
  <si>
    <t>LDO</t>
  </si>
  <si>
    <t>Monad</t>
  </si>
  <si>
    <t>MON</t>
  </si>
  <si>
    <t>BitTorrent [New]</t>
  </si>
  <si>
    <t>BTT</t>
  </si>
  <si>
    <t>AINFT</t>
  </si>
  <si>
    <t>NFT</t>
  </si>
  <si>
    <t>Immutable</t>
  </si>
  <si>
    <t>IMX</t>
  </si>
  <si>
    <t>Pendle</t>
  </si>
  <si>
    <t>PENDLE</t>
  </si>
  <si>
    <t>Tezos</t>
  </si>
  <si>
    <t>XTZ</t>
  </si>
  <si>
    <t>DoubleZero</t>
  </si>
  <si>
    <t>2Z</t>
  </si>
  <si>
    <t>Decred</t>
  </si>
  <si>
    <t>DCR</t>
  </si>
  <si>
    <t>Velvet</t>
  </si>
  <si>
    <t>VELVET</t>
  </si>
  <si>
    <t>Plasma</t>
  </si>
  <si>
    <t>XPL</t>
  </si>
  <si>
    <t>Conflux</t>
  </si>
  <si>
    <t>CFX</t>
  </si>
  <si>
    <t>Zebec Network</t>
  </si>
  <si>
    <t>ZBCN</t>
  </si>
  <si>
    <t>Optimism</t>
  </si>
  <si>
    <t>OP</t>
  </si>
  <si>
    <t>Maple Finance</t>
  </si>
  <si>
    <t>SYRUP</t>
  </si>
  <si>
    <t>Kaia</t>
  </si>
  <si>
    <t>KAIA</t>
  </si>
  <si>
    <t>JasmyCoin</t>
  </si>
  <si>
    <t>JASMY</t>
  </si>
  <si>
    <t>Kite</t>
  </si>
  <si>
    <t>KITE</t>
  </si>
  <si>
    <t>Humanity</t>
  </si>
  <si>
    <t>H</t>
  </si>
  <si>
    <t>FLOKI</t>
  </si>
  <si>
    <t>Telcoin</t>
  </si>
  <si>
    <t>TEL</t>
  </si>
  <si>
    <t>EigenCloud</t>
  </si>
  <si>
    <t>EIGEN</t>
  </si>
  <si>
    <t>Falcon Finance</t>
  </si>
  <si>
    <t>FF</t>
  </si>
  <si>
    <t>Starknet</t>
  </si>
  <si>
    <t>STRK</t>
  </si>
  <si>
    <t>The Graph</t>
  </si>
  <si>
    <t>GRT</t>
  </si>
  <si>
    <t>Raydium</t>
  </si>
  <si>
    <t>RAY</t>
  </si>
  <si>
    <t>Chiliz</t>
  </si>
  <si>
    <t>CHZ</t>
  </si>
  <si>
    <t>Pieverse</t>
  </si>
  <si>
    <t>PIEVERSE</t>
  </si>
  <si>
    <t>Axie Infinity</t>
  </si>
  <si>
    <t>AXS</t>
  </si>
  <si>
    <t>Ethereum Name Service</t>
  </si>
  <si>
    <t>ENS</t>
  </si>
  <si>
    <t>Akash Network</t>
  </si>
  <si>
    <t>AKT</t>
  </si>
  <si>
    <t>Compound</t>
  </si>
  <si>
    <t>COMP</t>
  </si>
  <si>
    <t>IOTA</t>
  </si>
  <si>
    <t>KAITO</t>
  </si>
  <si>
    <t>dogwifhat</t>
  </si>
  <si>
    <t>WIF</t>
  </si>
  <si>
    <t>MX Token</t>
  </si>
  <si>
    <t>MX</t>
  </si>
  <si>
    <t>edgeX</t>
  </si>
  <si>
    <t>EDGE</t>
  </si>
  <si>
    <t>Billions Network</t>
  </si>
  <si>
    <t>BILL</t>
  </si>
  <si>
    <t>Trust Wallet Token</t>
  </si>
  <si>
    <t>TWT</t>
  </si>
  <si>
    <t>Theta Network</t>
  </si>
  <si>
    <t>THETA</t>
  </si>
  <si>
    <t>ApeCoin</t>
  </si>
  <si>
    <t>APE</t>
  </si>
  <si>
    <t>Onyxcoin</t>
  </si>
  <si>
    <t>XCN</t>
  </si>
  <si>
    <t>Fartcoin</t>
  </si>
  <si>
    <t>FARTCOIN</t>
  </si>
  <si>
    <t>The Sandbox</t>
  </si>
  <si>
    <t>SAND</t>
  </si>
  <si>
    <t>Decentraland</t>
  </si>
  <si>
    <t>MANA</t>
  </si>
  <si>
    <t>Neo</t>
  </si>
  <si>
    <t>NEO</t>
  </si>
  <si>
    <t>THORChain</t>
  </si>
  <si>
    <t>RUNE</t>
  </si>
  <si>
    <t>Convex Finance</t>
  </si>
  <si>
    <t>CVX</t>
  </si>
  <si>
    <t>Rootstock Infrastructure Framework</t>
  </si>
  <si>
    <t>RIF</t>
  </si>
  <si>
    <t>OriginTrail</t>
  </si>
  <si>
    <t>TRAC</t>
  </si>
  <si>
    <t>Arweave</t>
  </si>
  <si>
    <t>AR</t>
  </si>
  <si>
    <t>AWE</t>
  </si>
  <si>
    <t>WEMIX</t>
  </si>
  <si>
    <t>Vision</t>
  </si>
  <si>
    <t>VSN</t>
  </si>
  <si>
    <t>Vaulta</t>
  </si>
  <si>
    <t>A</t>
  </si>
  <si>
    <t>Basic Attention Token</t>
  </si>
  <si>
    <t>BAT</t>
  </si>
  <si>
    <t>eCash</t>
  </si>
  <si>
    <t>XEC</t>
  </si>
  <si>
    <t>GoМining</t>
  </si>
  <si>
    <t>GOMINING</t>
  </si>
  <si>
    <t>BUILDon</t>
  </si>
  <si>
    <t>B</t>
  </si>
  <si>
    <t>Genius Terminal</t>
  </si>
  <si>
    <t>GENIUS</t>
  </si>
  <si>
    <t>SafePal</t>
  </si>
  <si>
    <t>SFP</t>
  </si>
  <si>
    <t>Nexus</t>
  </si>
  <si>
    <t>NEX</t>
  </si>
  <si>
    <t>dYdX</t>
  </si>
  <si>
    <t>DYDX</t>
  </si>
  <si>
    <t>ZKsync</t>
  </si>
  <si>
    <t>ZK</t>
  </si>
  <si>
    <t>1inch</t>
  </si>
  <si>
    <t>1INCH</t>
  </si>
  <si>
    <t>Golem</t>
  </si>
  <si>
    <t>GLM</t>
  </si>
  <si>
    <t>Centrifuge</t>
  </si>
  <si>
    <t>CFG</t>
  </si>
  <si>
    <t>Gala</t>
  </si>
  <si>
    <t>GALA</t>
  </si>
  <si>
    <t>DeepBook Protocol</t>
  </si>
  <si>
    <t>DEEP</t>
  </si>
  <si>
    <t>Sentient</t>
  </si>
  <si>
    <t>SENT</t>
  </si>
  <si>
    <t>MultiversX</t>
  </si>
  <si>
    <t>EGLD</t>
  </si>
  <si>
    <t>Data Network</t>
  </si>
  <si>
    <t>DATA</t>
  </si>
  <si>
    <t>AB</t>
  </si>
  <si>
    <t>Tagger</t>
  </si>
  <si>
    <t>TAG</t>
  </si>
  <si>
    <t>Kamino</t>
  </si>
  <si>
    <t>KMNO</t>
  </si>
  <si>
    <t>SOON</t>
  </si>
  <si>
    <t>YZY MONEY</t>
  </si>
  <si>
    <t>YZY</t>
  </si>
  <si>
    <t>Grass</t>
  </si>
  <si>
    <t>GRASS</t>
  </si>
  <si>
    <t>ETHGas</t>
  </si>
  <si>
    <t>GWEI</t>
  </si>
  <si>
    <t>Aethir</t>
  </si>
  <si>
    <t>ATH</t>
  </si>
  <si>
    <t>Re</t>
  </si>
  <si>
    <t>RE</t>
  </si>
  <si>
    <t>Cheems (cheems.pet)</t>
  </si>
  <si>
    <t>CHEEMS</t>
  </si>
  <si>
    <t>o1.exchange</t>
  </si>
  <si>
    <t>O</t>
  </si>
  <si>
    <t>Safe</t>
  </si>
  <si>
    <t>SAFE</t>
  </si>
  <si>
    <t>Synthetix</t>
  </si>
  <si>
    <t>SNX</t>
  </si>
  <si>
    <t>Useless Coin</t>
  </si>
  <si>
    <t>USELESS</t>
  </si>
  <si>
    <t>Fluid</t>
  </si>
  <si>
    <t>FLUID</t>
  </si>
  <si>
    <t>CoW Protocol</t>
  </si>
  <si>
    <t>COW</t>
  </si>
  <si>
    <t>Official Melania Meme</t>
  </si>
  <si>
    <t>MELANIA</t>
  </si>
  <si>
    <t>Beam</t>
  </si>
  <si>
    <t>BEAM</t>
  </si>
  <si>
    <t>Meteora</t>
  </si>
  <si>
    <t>MET</t>
  </si>
  <si>
    <t>Reserve Rights</t>
  </si>
  <si>
    <t>RSR</t>
  </si>
  <si>
    <t>Four</t>
  </si>
  <si>
    <t>FORM</t>
  </si>
  <si>
    <t>Allora</t>
  </si>
  <si>
    <t>ALLO</t>
  </si>
  <si>
    <t>Livepeer</t>
  </si>
  <si>
    <t>LPT</t>
  </si>
  <si>
    <t>Adjusted 1H %</t>
  </si>
  <si>
    <t>Adjusted 24H %</t>
  </si>
  <si>
    <t>Adjusted 7D %</t>
  </si>
  <si>
    <t>24H Price</t>
  </si>
  <si>
    <t>7D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</si>
</sst>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  <xf numFmtId="170" fontId="0" fillId="0" borderId="0" xfId="0" applyNumberFormat="1"/>
  </cellXfs>
  <cellStyles count="1">
    <cellStyle name="Normal" xfId="0" builtinId="0"/>
  </cellStyles>
  <dxfs count="3">
    <dxf>
      <numFmt numFmtId="170" formatCode="0.0000"/>
    </dxf>
    <dxf>
      <numFmt numFmtId="170" formatCode="0.000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</a:rPr>
              <a:t>Top 10 Crypto Coins: 24H Price vs 7D Price ($0–$5 Range)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'Historical Price Analysis'!$J$1</c:f>
              <c:strCache>
                <c:ptCount val="1"/>
                <c:pt idx="0">
                  <c:v>24H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'Historical Price Analysis'!$A$2:$A$11</c:f>
              <c:strCache>
                <c:ptCount val="10"/>
                <c:pt idx="0">
                  <c:v>Velvet</c:v>
                </c:pt>
                <c:pt idx="1">
                  <c:v>MemeCore</c:v>
                </c:pt>
                <c:pt idx="2">
                  <c:v>Billions Network</c:v>
                </c:pt>
                <c:pt idx="3">
                  <c:v>Falcon Finance</c:v>
                </c:pt>
                <c:pt idx="4">
                  <c:v>Pi</c:v>
                </c:pt>
                <c:pt idx="5">
                  <c:v>Useless Coin</c:v>
                </c:pt>
                <c:pt idx="6">
                  <c:v>Conflux</c:v>
                </c:pt>
                <c:pt idx="7">
                  <c:v>LayerZero</c:v>
                </c:pt>
                <c:pt idx="8">
                  <c:v>BUILDon</c:v>
                </c:pt>
                <c:pt idx="9">
                  <c:v>Maple Finance</c:v>
                </c:pt>
              </c:strCache>
            </c:strRef>
          </c:cat>
          <c:val>
            <c:numRef>
              <c:f>'Historical Price Analysis'!$J$2:$J$11</c:f>
              <c:numCache>
                <c:formatCode>0.0000</c:formatCode>
                <c:ptCount val="10"/>
                <c:pt idx="0">
                  <c:v>0.53065836</c:v>
                </c:pt>
                <c:pt idx="1">
                  <c:v>1.2349800000000002</c:v>
                </c:pt>
                <c:pt idx="2">
                  <c:v>4.9305835000000006E-2</c:v>
                </c:pt>
                <c:pt idx="3">
                  <c:v>5.9437224000000004E-2</c:v>
                </c:pt>
                <c:pt idx="4">
                  <c:v>6.0891670999999994E-2</c:v>
                </c:pt>
                <c:pt idx="5">
                  <c:v>7.6701029999999989E-2</c:v>
                </c:pt>
                <c:pt idx="6">
                  <c:v>4.2502878000000001E-2</c:v>
                </c:pt>
                <c:pt idx="7">
                  <c:v>0.83349991999999995</c:v>
                </c:pt>
                <c:pt idx="8">
                  <c:v>0.10202665</c:v>
                </c:pt>
                <c:pt idx="9">
                  <c:v>0.17493816000000001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6-4AAF-8F07-6C5CAACB2718}"/>
            </c:ext>
          </c:extLst>
        </c:ser>
        <c:ser>
          <c:idx val="1"/>
          <c:order val="1"/>
          <c:tx>
            <c:strRef>
              <c:f>'Historical Price Analysis'!$K$1</c:f>
              <c:strCache>
                <c:ptCount val="1"/>
                <c:pt idx="0">
                  <c:v>7D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'Historical Price Analysis'!$A$2:$A$11</c:f>
              <c:strCache>
                <c:ptCount val="10"/>
                <c:pt idx="0">
                  <c:v>Velvet</c:v>
                </c:pt>
                <c:pt idx="1">
                  <c:v>MemeCore</c:v>
                </c:pt>
                <c:pt idx="2">
                  <c:v>Billions Network</c:v>
                </c:pt>
                <c:pt idx="3">
                  <c:v>Falcon Finance</c:v>
                </c:pt>
                <c:pt idx="4">
                  <c:v>Pi</c:v>
                </c:pt>
                <c:pt idx="5">
                  <c:v>Useless Coin</c:v>
                </c:pt>
                <c:pt idx="6">
                  <c:v>Conflux</c:v>
                </c:pt>
                <c:pt idx="7">
                  <c:v>LayerZero</c:v>
                </c:pt>
                <c:pt idx="8">
                  <c:v>BUILDon</c:v>
                </c:pt>
                <c:pt idx="9">
                  <c:v>Maple Finance</c:v>
                </c:pt>
              </c:strCache>
            </c:strRef>
          </c:cat>
          <c:val>
            <c:numRef>
              <c:f>'Historical Price Analysis'!$K$2:$K$11</c:f>
              <c:numCache>
                <c:formatCode>0.0000</c:formatCode>
                <c:ptCount val="10"/>
                <c:pt idx="0">
                  <c:v>0.66899813999999991</c:v>
                </c:pt>
                <c:pt idx="1">
                  <c:v>1.4423400000000002</c:v>
                </c:pt>
                <c:pt idx="2">
                  <c:v>8.9202447000000004E-2</c:v>
                </c:pt>
                <c:pt idx="3">
                  <c:v>7.5283164E-2</c:v>
                </c:pt>
                <c:pt idx="4">
                  <c:v>9.7101955999999989E-2</c:v>
                </c:pt>
                <c:pt idx="5">
                  <c:v>9.2147429999999989E-2</c:v>
                </c:pt>
                <c:pt idx="6">
                  <c:v>4.4414910000000002E-2</c:v>
                </c:pt>
                <c:pt idx="7">
                  <c:v>0.97286596000000003</c:v>
                </c:pt>
                <c:pt idx="8">
                  <c:v>0.14821906000000001</c:v>
                </c:pt>
                <c:pt idx="9">
                  <c:v>0.18425449999999999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6-4AAF-8F07-6C5CAACB27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4135711"/>
        <c:axId val="1366909071"/>
      </c:barChart>
      <c:catAx>
        <c:axId val="151413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09071"/>
        <c:crosses val="autoZero"/>
        <c:auto val="1"/>
        <c:lblAlgn val="ctr"/>
        <c:lblOffset val="100"/>
        <c:noMultiLvlLbl val="0"/>
      </c:catAx>
      <c:valAx>
        <c:axId val="136690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13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11</xdr:row>
      <xdr:rowOff>26670</xdr:rowOff>
    </xdr:from>
    <xdr:to>
      <xdr:col>15</xdr:col>
      <xdr:colOff>129540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4EB11-E23E-75EF-B433-F21080D7E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16C16-5B45-4A55-A8B8-54CA586C2912}" name="Table1" displayName="Table1" ref="A1:K11" totalsRowShown="0" headerRowDxfId="2">
  <autoFilter ref="A1:K11" xr:uid="{FB416C16-5B45-4A55-A8B8-54CA586C2912}"/>
  <tableColumns count="11">
    <tableColumn id="1" xr3:uid="{D311C5A2-9224-4888-901A-BA6F2563823E}" name="Coin Name"/>
    <tableColumn id="2" xr3:uid="{3832C6A3-D5F8-4D69-8644-DC817E643D11}" name="Symbol"/>
    <tableColumn id="3" xr3:uid="{CE469098-6E25-477F-940C-D533CCFCE345}" name="Current Price"/>
    <tableColumn id="4" xr3:uid="{986E378C-536C-4B36-B03E-3D7381610266}" name="1H Change %"/>
    <tableColumn id="5" xr3:uid="{ED7494C9-1C9F-4FE1-8422-7CABF164ECDD}" name="24H Change %"/>
    <tableColumn id="6" xr3:uid="{29C66670-57AA-4138-B4F7-1EACC15F79EC}" name="7D Change %"/>
    <tableColumn id="7" xr3:uid="{A8C898B2-4798-4690-8C0D-04FC207CE68B}" name="Adjusted 1H %"/>
    <tableColumn id="8" xr3:uid="{D1B24EAF-B013-4870-BB7C-A2E6E78642E1}" name="Adjusted 24H %"/>
    <tableColumn id="9" xr3:uid="{CD230835-6B01-4F47-AD03-D63300A3E429}" name="Adjusted 7D %"/>
    <tableColumn id="10" xr3:uid="{13AE2549-16FC-4E91-BFF3-2F8560AC169F}" name="24H Price" dataDxfId="1"/>
    <tableColumn id="11" xr3:uid="{ACB6E797-55A9-4F78-98C1-FDDA4ECF3040}" name="7D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01"/>
  <sheetViews>
    <sheetView tabSelected="1" workbookViewId="0">
      <selection sqref="A1:K1048576"/>
    </sheetView>
  </sheetViews>
  <sheetFormatPr defaultRowHeight="14.4" x14ac:dyDescent="0.3"/>
  <cols>
    <col min="1" max="1" width="31.21875" bestFit="1" customWidth="1"/>
    <col min="2" max="2" width="10.21875" bestFit="1" customWidth="1"/>
    <col min="3" max="4" width="13.77734375" bestFit="1" customWidth="1"/>
    <col min="5" max="5" width="14.77734375" bestFit="1" customWidth="1"/>
    <col min="6" max="6" width="13.77734375" bestFit="1" customWidth="1"/>
    <col min="7" max="7" width="17" bestFit="1" customWidth="1"/>
    <col min="8" max="8" width="18.109375" bestFit="1" customWidth="1"/>
    <col min="9" max="9" width="17" bestFit="1" customWidth="1"/>
    <col min="10" max="10" width="13.109375" bestFit="1" customWidth="1"/>
    <col min="11" max="11" width="12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</row>
    <row r="2" spans="1:11" hidden="1" x14ac:dyDescent="0.3">
      <c r="A2" t="s">
        <v>6</v>
      </c>
      <c r="B2" t="s">
        <v>7</v>
      </c>
      <c r="C2">
        <v>62611.78</v>
      </c>
      <c r="D2">
        <v>0.15</v>
      </c>
      <c r="E2">
        <v>0.7</v>
      </c>
      <c r="F2">
        <v>0.84</v>
      </c>
      <c r="G2">
        <f>ABS(D2)</f>
        <v>0.15</v>
      </c>
      <c r="H2">
        <f>-ABS(E2)</f>
        <v>-0.7</v>
      </c>
      <c r="I2">
        <f>ABS(F2)</f>
        <v>0.84</v>
      </c>
      <c r="J2">
        <f>C2*(1+H2/100)</f>
        <v>62173.497539999997</v>
      </c>
      <c r="K2">
        <f>C2*(1+I2/100)</f>
        <v>63137.718951999996</v>
      </c>
    </row>
    <row r="3" spans="1:11" hidden="1" x14ac:dyDescent="0.3">
      <c r="A3" t="s">
        <v>8</v>
      </c>
      <c r="B3" t="s">
        <v>9</v>
      </c>
      <c r="C3">
        <v>1785.64</v>
      </c>
      <c r="D3">
        <v>0.24</v>
      </c>
      <c r="E3">
        <v>0.03</v>
      </c>
      <c r="F3">
        <v>0.8</v>
      </c>
      <c r="G3">
        <f t="shared" ref="G3" si="0">ABS(D3)</f>
        <v>0.24</v>
      </c>
      <c r="H3">
        <f t="shared" ref="H3" si="1">-ABS(E3)</f>
        <v>-0.03</v>
      </c>
      <c r="I3">
        <f t="shared" ref="I3" si="2">ABS(F3)</f>
        <v>0.8</v>
      </c>
      <c r="J3">
        <f t="shared" ref="J3" si="3">C3*(1+H3/100)</f>
        <v>1785.1043080000002</v>
      </c>
      <c r="K3">
        <f t="shared" ref="K3" si="4">C3*(1+I3/100)</f>
        <v>1799.9251200000001</v>
      </c>
    </row>
    <row r="4" spans="1:11" x14ac:dyDescent="0.3">
      <c r="A4" t="s">
        <v>227</v>
      </c>
      <c r="B4" t="s">
        <v>228</v>
      </c>
      <c r="C4">
        <v>0.56189999999999996</v>
      </c>
      <c r="D4">
        <v>10.86</v>
      </c>
      <c r="E4">
        <v>5.56</v>
      </c>
      <c r="F4">
        <v>19.059999999999999</v>
      </c>
      <c r="G4">
        <f>ABS(D4)</f>
        <v>10.86</v>
      </c>
      <c r="H4">
        <f>-ABS(E4)</f>
        <v>-5.56</v>
      </c>
      <c r="I4">
        <f>ABS(F4)</f>
        <v>19.059999999999999</v>
      </c>
      <c r="J4">
        <f>C4*(1+H4/100)</f>
        <v>0.53065836</v>
      </c>
      <c r="K4">
        <f>C4*(1+I4/100)</f>
        <v>0.66899813999999991</v>
      </c>
    </row>
    <row r="5" spans="1:11" hidden="1" x14ac:dyDescent="0.3">
      <c r="A5" t="s">
        <v>12</v>
      </c>
      <c r="B5" t="s">
        <v>12</v>
      </c>
      <c r="C5">
        <v>570.26</v>
      </c>
      <c r="D5">
        <v>0.06</v>
      </c>
      <c r="E5">
        <v>0.17</v>
      </c>
      <c r="F5">
        <v>1.18</v>
      </c>
      <c r="G5">
        <f>ABS(D5)</f>
        <v>0.06</v>
      </c>
      <c r="H5">
        <f>-ABS(E5)</f>
        <v>-0.17</v>
      </c>
      <c r="I5">
        <f>ABS(F5)</f>
        <v>1.18</v>
      </c>
      <c r="J5">
        <f>C5*(1+H5/100)</f>
        <v>569.29055799999992</v>
      </c>
      <c r="K5">
        <f>C5*(1+I5/100)</f>
        <v>576.98906799999997</v>
      </c>
    </row>
    <row r="6" spans="1:11" x14ac:dyDescent="0.3">
      <c r="A6" t="s">
        <v>77</v>
      </c>
      <c r="B6" t="s">
        <v>78</v>
      </c>
      <c r="C6">
        <v>1.35</v>
      </c>
      <c r="D6">
        <v>10.66</v>
      </c>
      <c r="E6">
        <v>8.52</v>
      </c>
      <c r="F6">
        <v>6.84</v>
      </c>
      <c r="G6">
        <f>ABS(D6)</f>
        <v>10.66</v>
      </c>
      <c r="H6">
        <f>-ABS(E6)</f>
        <v>-8.52</v>
      </c>
      <c r="I6">
        <f>ABS(F6)</f>
        <v>6.84</v>
      </c>
      <c r="J6">
        <f>C6*(1+H6/100)</f>
        <v>1.2349800000000002</v>
      </c>
      <c r="K6">
        <f>C6*(1+I6/100)</f>
        <v>1.4423400000000002</v>
      </c>
    </row>
    <row r="7" spans="1:11" x14ac:dyDescent="0.3">
      <c r="A7" t="s">
        <v>280</v>
      </c>
      <c r="B7" t="s">
        <v>281</v>
      </c>
      <c r="C7">
        <v>6.2770000000000006E-2</v>
      </c>
      <c r="D7">
        <v>8.5</v>
      </c>
      <c r="E7">
        <v>21.45</v>
      </c>
      <c r="F7">
        <v>42.11</v>
      </c>
      <c r="G7">
        <f>ABS(D7)</f>
        <v>8.5</v>
      </c>
      <c r="H7">
        <f>-ABS(E7)</f>
        <v>-21.45</v>
      </c>
      <c r="I7">
        <f>ABS(F7)</f>
        <v>42.11</v>
      </c>
      <c r="J7">
        <f>C7*(1+H7/100)</f>
        <v>4.9305835000000006E-2</v>
      </c>
      <c r="K7">
        <f>C7*(1+I7/100)</f>
        <v>8.9202447000000004E-2</v>
      </c>
    </row>
    <row r="8" spans="1:11" hidden="1" x14ac:dyDescent="0.3">
      <c r="A8" t="s">
        <v>15</v>
      </c>
      <c r="B8" t="s">
        <v>16</v>
      </c>
      <c r="C8">
        <v>75.099999999999994</v>
      </c>
      <c r="D8">
        <v>0.31</v>
      </c>
      <c r="E8">
        <v>1.95</v>
      </c>
      <c r="F8">
        <v>7.55</v>
      </c>
      <c r="G8">
        <f>ABS(D8)</f>
        <v>0.31</v>
      </c>
      <c r="H8">
        <f>-ABS(E8)</f>
        <v>-1.95</v>
      </c>
      <c r="I8">
        <f>ABS(F8)</f>
        <v>7.55</v>
      </c>
      <c r="J8">
        <f>C8*(1+H8/100)</f>
        <v>73.635549999999995</v>
      </c>
      <c r="K8">
        <f>C8*(1+I8/100)</f>
        <v>80.770049999999983</v>
      </c>
    </row>
    <row r="9" spans="1:11" x14ac:dyDescent="0.3">
      <c r="A9" t="s">
        <v>252</v>
      </c>
      <c r="B9" t="s">
        <v>253</v>
      </c>
      <c r="C9">
        <v>6.6439999999999999E-2</v>
      </c>
      <c r="D9">
        <v>5.19</v>
      </c>
      <c r="E9">
        <v>10.54</v>
      </c>
      <c r="F9">
        <v>13.31</v>
      </c>
      <c r="G9">
        <f>ABS(D9)</f>
        <v>5.19</v>
      </c>
      <c r="H9">
        <f>-ABS(E9)</f>
        <v>-10.54</v>
      </c>
      <c r="I9">
        <f>ABS(F9)</f>
        <v>13.31</v>
      </c>
      <c r="J9">
        <f>C9*(1+H9/100)</f>
        <v>5.9437224000000004E-2</v>
      </c>
      <c r="K9">
        <f>C9*(1+I9/100)</f>
        <v>7.5283164E-2</v>
      </c>
    </row>
    <row r="10" spans="1:11" hidden="1" x14ac:dyDescent="0.3">
      <c r="A10" t="s">
        <v>19</v>
      </c>
      <c r="B10" t="s">
        <v>20</v>
      </c>
      <c r="C10">
        <v>63.72</v>
      </c>
      <c r="D10">
        <v>0.68</v>
      </c>
      <c r="E10">
        <v>2.04</v>
      </c>
      <c r="F10">
        <v>10.54</v>
      </c>
      <c r="G10">
        <f>ABS(D10)</f>
        <v>0.68</v>
      </c>
      <c r="H10">
        <f>-ABS(E10)</f>
        <v>-2.04</v>
      </c>
      <c r="I10">
        <f>ABS(F10)</f>
        <v>10.54</v>
      </c>
      <c r="J10">
        <f>C10*(1+H10/100)</f>
        <v>62.420112000000003</v>
      </c>
      <c r="K10">
        <f>C10*(1+I10/100)</f>
        <v>70.436087999999998</v>
      </c>
    </row>
    <row r="11" spans="1:11" x14ac:dyDescent="0.3">
      <c r="A11" t="s">
        <v>123</v>
      </c>
      <c r="B11" t="s">
        <v>124</v>
      </c>
      <c r="C11">
        <v>7.1209999999999996E-2</v>
      </c>
      <c r="D11">
        <v>3.71</v>
      </c>
      <c r="E11">
        <v>14.49</v>
      </c>
      <c r="F11">
        <v>36.36</v>
      </c>
      <c r="G11">
        <f>ABS(D11)</f>
        <v>3.71</v>
      </c>
      <c r="H11">
        <f>-ABS(E11)</f>
        <v>-14.49</v>
      </c>
      <c r="I11">
        <f>ABS(F11)</f>
        <v>36.36</v>
      </c>
      <c r="J11">
        <f>C11*(1+H11/100)</f>
        <v>6.0891670999999994E-2</v>
      </c>
      <c r="K11">
        <f>C11*(1+I11/100)</f>
        <v>9.7101955999999989E-2</v>
      </c>
    </row>
    <row r="12" spans="1:11" hidden="1" x14ac:dyDescent="0.3">
      <c r="A12" t="s">
        <v>23</v>
      </c>
      <c r="B12" t="s">
        <v>24</v>
      </c>
      <c r="C12">
        <v>9.5399999999999991</v>
      </c>
      <c r="D12">
        <v>0.01</v>
      </c>
      <c r="E12">
        <v>0.34</v>
      </c>
      <c r="F12">
        <v>1.41</v>
      </c>
      <c r="G12">
        <f>ABS(D12)</f>
        <v>0.01</v>
      </c>
      <c r="H12">
        <f>-ABS(E12)</f>
        <v>-0.34</v>
      </c>
      <c r="I12">
        <f>ABS(F12)</f>
        <v>1.41</v>
      </c>
      <c r="J12">
        <f>C12*(1+H12/100)</f>
        <v>9.5075640000000003</v>
      </c>
      <c r="K12">
        <f>C12*(1+I12/100)</f>
        <v>9.6745139999999985</v>
      </c>
    </row>
    <row r="13" spans="1:11" hidden="1" x14ac:dyDescent="0.3">
      <c r="A13" t="s">
        <v>25</v>
      </c>
      <c r="B13" t="s">
        <v>26</v>
      </c>
      <c r="C13">
        <v>505.2</v>
      </c>
      <c r="D13">
        <v>0.01</v>
      </c>
      <c r="E13">
        <v>2.76</v>
      </c>
      <c r="F13">
        <v>11.61</v>
      </c>
      <c r="G13">
        <f>ABS(D13)</f>
        <v>0.01</v>
      </c>
      <c r="H13">
        <f>-ABS(E13)</f>
        <v>-2.76</v>
      </c>
      <c r="I13">
        <f>ABS(F13)</f>
        <v>11.61</v>
      </c>
      <c r="J13">
        <f>C13*(1+H13/100)</f>
        <v>491.25648000000001</v>
      </c>
      <c r="K13">
        <f>C13*(1+I13/100)</f>
        <v>563.85372000000007</v>
      </c>
    </row>
    <row r="14" spans="1:11" hidden="1" x14ac:dyDescent="0.3">
      <c r="A14" t="s">
        <v>27</v>
      </c>
      <c r="B14" t="s">
        <v>28</v>
      </c>
      <c r="C14">
        <v>325.76</v>
      </c>
      <c r="D14">
        <v>0.42</v>
      </c>
      <c r="E14">
        <v>1.7</v>
      </c>
      <c r="F14">
        <v>0.45</v>
      </c>
      <c r="G14">
        <f>ABS(D14)</f>
        <v>0.42</v>
      </c>
      <c r="H14">
        <f>-ABS(E14)</f>
        <v>-1.7</v>
      </c>
      <c r="I14">
        <f>ABS(F14)</f>
        <v>0.45</v>
      </c>
      <c r="J14">
        <f>C14*(1+H14/100)</f>
        <v>320.22208000000001</v>
      </c>
      <c r="K14">
        <f>C14*(1+I14/100)</f>
        <v>327.22591999999997</v>
      </c>
    </row>
    <row r="15" spans="1:11" x14ac:dyDescent="0.3">
      <c r="A15" t="s">
        <v>372</v>
      </c>
      <c r="B15" t="s">
        <v>373</v>
      </c>
      <c r="C15">
        <v>8.0449999999999994E-2</v>
      </c>
      <c r="D15">
        <v>2.31</v>
      </c>
      <c r="E15">
        <v>4.66</v>
      </c>
      <c r="F15">
        <v>14.54</v>
      </c>
      <c r="G15">
        <f>ABS(D15)</f>
        <v>2.31</v>
      </c>
      <c r="H15">
        <f>-ABS(E15)</f>
        <v>-4.66</v>
      </c>
      <c r="I15">
        <f>ABS(F15)</f>
        <v>14.54</v>
      </c>
      <c r="J15">
        <f>C15*(1+H15/100)</f>
        <v>7.6701029999999989E-2</v>
      </c>
      <c r="K15">
        <f>C15*(1+I15/100)</f>
        <v>9.2147429999999989E-2</v>
      </c>
    </row>
    <row r="16" spans="1:11" x14ac:dyDescent="0.3">
      <c r="A16" t="s">
        <v>231</v>
      </c>
      <c r="B16" t="s">
        <v>232</v>
      </c>
      <c r="C16">
        <v>4.4260000000000001E-2</v>
      </c>
      <c r="D16">
        <v>1.82</v>
      </c>
      <c r="E16">
        <v>3.97</v>
      </c>
      <c r="F16">
        <v>0.35</v>
      </c>
      <c r="G16">
        <f>ABS(D16)</f>
        <v>1.82</v>
      </c>
      <c r="H16">
        <f>-ABS(E16)</f>
        <v>-3.97</v>
      </c>
      <c r="I16">
        <f>ABS(F16)</f>
        <v>0.35</v>
      </c>
      <c r="J16">
        <f>C16*(1+H16/100)</f>
        <v>4.2502878000000001E-2</v>
      </c>
      <c r="K16">
        <f>C16*(1+I16/100)</f>
        <v>4.4414910000000002E-2</v>
      </c>
    </row>
    <row r="17" spans="1:11" hidden="1" x14ac:dyDescent="0.3">
      <c r="A17" t="s">
        <v>33</v>
      </c>
      <c r="B17" t="s">
        <v>34</v>
      </c>
      <c r="C17">
        <v>7.93</v>
      </c>
      <c r="D17">
        <v>0.46</v>
      </c>
      <c r="E17">
        <v>0.67</v>
      </c>
      <c r="F17">
        <v>0.28999999999999998</v>
      </c>
      <c r="G17">
        <f>ABS(D17)</f>
        <v>0.46</v>
      </c>
      <c r="H17">
        <f>-ABS(E17)</f>
        <v>-0.67</v>
      </c>
      <c r="I17">
        <f>ABS(F17)</f>
        <v>0.28999999999999998</v>
      </c>
      <c r="J17">
        <f>C17*(1+H17/100)</f>
        <v>7.8768689999999992</v>
      </c>
      <c r="K17">
        <f>C17*(1+I17/100)</f>
        <v>7.952996999999999</v>
      </c>
    </row>
    <row r="18" spans="1:11" x14ac:dyDescent="0.3">
      <c r="A18" t="s">
        <v>201</v>
      </c>
      <c r="B18" t="s">
        <v>202</v>
      </c>
      <c r="C18">
        <v>0.84260000000000002</v>
      </c>
      <c r="D18">
        <v>1.73</v>
      </c>
      <c r="E18">
        <v>1.08</v>
      </c>
      <c r="F18">
        <v>15.46</v>
      </c>
      <c r="G18">
        <f>ABS(D18)</f>
        <v>1.73</v>
      </c>
      <c r="H18">
        <f>-ABS(E18)</f>
        <v>-1.08</v>
      </c>
      <c r="I18">
        <f>ABS(F18)</f>
        <v>15.46</v>
      </c>
      <c r="J18">
        <f>C18*(1+H18/100)</f>
        <v>0.83349991999999995</v>
      </c>
      <c r="K18">
        <f>C18*(1+I18/100)</f>
        <v>0.97286596000000003</v>
      </c>
    </row>
    <row r="19" spans="1:11" hidden="1" x14ac:dyDescent="0.3">
      <c r="A19" t="s">
        <v>37</v>
      </c>
      <c r="B19" t="s">
        <v>38</v>
      </c>
      <c r="C19">
        <v>236.21</v>
      </c>
      <c r="D19">
        <v>0.56999999999999995</v>
      </c>
      <c r="E19">
        <v>0.79</v>
      </c>
      <c r="F19">
        <v>0.84</v>
      </c>
      <c r="G19">
        <f>ABS(D19)</f>
        <v>0.56999999999999995</v>
      </c>
      <c r="H19">
        <f>-ABS(E19)</f>
        <v>-0.79</v>
      </c>
      <c r="I19">
        <f>ABS(F19)</f>
        <v>0.84</v>
      </c>
      <c r="J19">
        <f>C19*(1+H19/100)</f>
        <v>234.343941</v>
      </c>
      <c r="K19">
        <f>C19*(1+I19/100)</f>
        <v>238.194164</v>
      </c>
    </row>
    <row r="20" spans="1:11" x14ac:dyDescent="0.3">
      <c r="A20" t="s">
        <v>320</v>
      </c>
      <c r="B20" t="s">
        <v>321</v>
      </c>
      <c r="C20">
        <v>0.1133</v>
      </c>
      <c r="D20">
        <v>1.59</v>
      </c>
      <c r="E20">
        <v>9.9499999999999993</v>
      </c>
      <c r="F20">
        <v>30.82</v>
      </c>
      <c r="G20">
        <f>ABS(D20)</f>
        <v>1.59</v>
      </c>
      <c r="H20">
        <f>-ABS(E20)</f>
        <v>-9.9499999999999993</v>
      </c>
      <c r="I20">
        <f>ABS(F20)</f>
        <v>30.82</v>
      </c>
      <c r="J20">
        <f>C20*(1+H20/100)</f>
        <v>0.10202665</v>
      </c>
      <c r="K20">
        <f>C20*(1+I20/100)</f>
        <v>0.14821906000000001</v>
      </c>
    </row>
    <row r="21" spans="1:11" x14ac:dyDescent="0.3">
      <c r="A21" t="s">
        <v>237</v>
      </c>
      <c r="B21" t="s">
        <v>238</v>
      </c>
      <c r="C21">
        <v>0.1802</v>
      </c>
      <c r="D21">
        <v>1.43</v>
      </c>
      <c r="E21">
        <v>2.92</v>
      </c>
      <c r="F21">
        <v>2.25</v>
      </c>
      <c r="G21">
        <f>ABS(D21)</f>
        <v>1.43</v>
      </c>
      <c r="H21">
        <f>-ABS(E21)</f>
        <v>-2.92</v>
      </c>
      <c r="I21">
        <f>ABS(F21)</f>
        <v>2.25</v>
      </c>
      <c r="J21">
        <f>C21*(1+H21/100)</f>
        <v>0.17493816000000001</v>
      </c>
      <c r="K21">
        <f>C21*(1+I21/100)</f>
        <v>0.18425449999999999</v>
      </c>
    </row>
    <row r="22" spans="1:11" x14ac:dyDescent="0.3">
      <c r="A22" t="s">
        <v>243</v>
      </c>
      <c r="B22" t="s">
        <v>244</v>
      </c>
      <c r="C22">
        <v>0.1182</v>
      </c>
      <c r="D22">
        <v>1.4</v>
      </c>
      <c r="E22">
        <v>15.24</v>
      </c>
      <c r="F22">
        <v>0.54</v>
      </c>
      <c r="G22">
        <f>ABS(D22)</f>
        <v>1.4</v>
      </c>
      <c r="H22">
        <f>-ABS(E22)</f>
        <v>-15.24</v>
      </c>
      <c r="I22">
        <f>ABS(F22)</f>
        <v>0.54</v>
      </c>
      <c r="J22">
        <f>C22*(1+H22/100)</f>
        <v>0.10018632</v>
      </c>
      <c r="K22">
        <f>C22*(1+I22/100)</f>
        <v>0.11883828</v>
      </c>
    </row>
    <row r="23" spans="1:11" x14ac:dyDescent="0.3">
      <c r="A23" t="s">
        <v>344</v>
      </c>
      <c r="B23" t="s">
        <v>345</v>
      </c>
      <c r="C23">
        <v>3.21</v>
      </c>
      <c r="D23">
        <v>1.34</v>
      </c>
      <c r="E23">
        <v>2.73</v>
      </c>
      <c r="F23">
        <v>13.32</v>
      </c>
      <c r="G23">
        <f>ABS(D23)</f>
        <v>1.34</v>
      </c>
      <c r="H23">
        <f>-ABS(E23)</f>
        <v>-2.73</v>
      </c>
      <c r="I23">
        <f>ABS(F23)</f>
        <v>13.32</v>
      </c>
      <c r="J23">
        <f>C23*(1+H23/100)</f>
        <v>3.1223670000000001</v>
      </c>
      <c r="K23">
        <f>C23*(1+I23/100)</f>
        <v>3.637572</v>
      </c>
    </row>
    <row r="24" spans="1:11" hidden="1" x14ac:dyDescent="0.3">
      <c r="A24" t="s">
        <v>47</v>
      </c>
      <c r="B24" t="s">
        <v>48</v>
      </c>
      <c r="C24">
        <v>41.35</v>
      </c>
      <c r="D24">
        <v>1.41</v>
      </c>
      <c r="E24">
        <v>9.7899999999999991</v>
      </c>
      <c r="F24">
        <v>48.15</v>
      </c>
      <c r="G24">
        <f>ABS(D24)</f>
        <v>1.41</v>
      </c>
      <c r="H24">
        <f>-ABS(E24)</f>
        <v>-9.7899999999999991</v>
      </c>
      <c r="I24">
        <f>ABS(F24)</f>
        <v>48.15</v>
      </c>
      <c r="J24">
        <f>C24*(1+H24/100)</f>
        <v>37.301835000000004</v>
      </c>
      <c r="K24">
        <f>C24*(1+I24/100)</f>
        <v>61.260025000000006</v>
      </c>
    </row>
    <row r="25" spans="1:11" hidden="1" x14ac:dyDescent="0.3">
      <c r="A25" t="s">
        <v>49</v>
      </c>
      <c r="B25" t="s">
        <v>50</v>
      </c>
      <c r="C25">
        <v>43.62</v>
      </c>
      <c r="D25">
        <v>0.13</v>
      </c>
      <c r="E25">
        <v>0.46</v>
      </c>
      <c r="F25">
        <v>1.01</v>
      </c>
      <c r="G25">
        <f>ABS(D25)</f>
        <v>0.13</v>
      </c>
      <c r="H25">
        <f>-ABS(E25)</f>
        <v>-0.46</v>
      </c>
      <c r="I25">
        <f>ABS(F25)</f>
        <v>1.01</v>
      </c>
      <c r="J25">
        <f>C25*(1+H25/100)</f>
        <v>43.419347999999992</v>
      </c>
      <c r="K25">
        <f>C25*(1+I25/100)</f>
        <v>44.060561999999997</v>
      </c>
    </row>
    <row r="26" spans="1:11" x14ac:dyDescent="0.3">
      <c r="A26" t="s">
        <v>353</v>
      </c>
      <c r="B26" t="s">
        <v>353</v>
      </c>
      <c r="C26">
        <v>0.16919999999999999</v>
      </c>
      <c r="D26">
        <v>1.34</v>
      </c>
      <c r="E26">
        <v>3.16</v>
      </c>
      <c r="F26">
        <v>1.61</v>
      </c>
      <c r="G26">
        <f>ABS(D26)</f>
        <v>1.34</v>
      </c>
      <c r="H26">
        <f>-ABS(E26)</f>
        <v>-3.16</v>
      </c>
      <c r="I26">
        <f>ABS(F26)</f>
        <v>1.61</v>
      </c>
      <c r="J26">
        <f>C26*(1+H26/100)</f>
        <v>0.16385327999999999</v>
      </c>
      <c r="K26">
        <f>C26*(1+I26/100)</f>
        <v>0.17192411999999999</v>
      </c>
    </row>
    <row r="27" spans="1:11" x14ac:dyDescent="0.3">
      <c r="A27" t="s">
        <v>121</v>
      </c>
      <c r="B27" t="s">
        <v>122</v>
      </c>
      <c r="C27">
        <v>8.2439999999999999E-2</v>
      </c>
      <c r="D27">
        <v>1.2</v>
      </c>
      <c r="E27">
        <v>4.4000000000000004</v>
      </c>
      <c r="F27">
        <v>8.39</v>
      </c>
      <c r="G27">
        <f>ABS(D27)</f>
        <v>1.2</v>
      </c>
      <c r="H27">
        <f>-ABS(E27)</f>
        <v>-4.4000000000000004</v>
      </c>
      <c r="I27">
        <f>ABS(F27)</f>
        <v>8.39</v>
      </c>
      <c r="J27">
        <f>C27*(1+H27/100)</f>
        <v>7.8812639999999989E-2</v>
      </c>
      <c r="K27">
        <f>C27*(1+I27/100)</f>
        <v>8.9356716000000003E-2</v>
      </c>
    </row>
    <row r="28" spans="1:11" x14ac:dyDescent="0.3">
      <c r="A28" t="s">
        <v>278</v>
      </c>
      <c r="B28" t="s">
        <v>279</v>
      </c>
      <c r="C28">
        <v>0.4274</v>
      </c>
      <c r="D28">
        <v>1.1599999999999999</v>
      </c>
      <c r="E28">
        <v>8.56</v>
      </c>
      <c r="F28">
        <v>31.4</v>
      </c>
      <c r="G28">
        <f>ABS(D28)</f>
        <v>1.1599999999999999</v>
      </c>
      <c r="H28">
        <f>-ABS(E28)</f>
        <v>-8.56</v>
      </c>
      <c r="I28">
        <f>ABS(F28)</f>
        <v>31.4</v>
      </c>
      <c r="J28">
        <f>C28*(1+H28/100)</f>
        <v>0.39081455999999998</v>
      </c>
      <c r="K28">
        <f>C28*(1+I28/100)</f>
        <v>0.56160359999999998</v>
      </c>
    </row>
    <row r="29" spans="1:11" x14ac:dyDescent="0.3">
      <c r="A29" t="s">
        <v>61</v>
      </c>
      <c r="B29" t="s">
        <v>62</v>
      </c>
      <c r="C29">
        <v>1.97</v>
      </c>
      <c r="D29">
        <v>1.1399999999999999</v>
      </c>
      <c r="E29">
        <v>2.88</v>
      </c>
      <c r="F29">
        <v>1.84</v>
      </c>
      <c r="G29">
        <f>ABS(D29)</f>
        <v>1.1399999999999999</v>
      </c>
      <c r="H29">
        <f>-ABS(E29)</f>
        <v>-2.88</v>
      </c>
      <c r="I29">
        <f>ABS(F29)</f>
        <v>1.84</v>
      </c>
      <c r="J29">
        <f>C29*(1+H29/100)</f>
        <v>1.9132639999999999</v>
      </c>
      <c r="K29">
        <f>C29*(1+I29/100)</f>
        <v>2.0062479999999998</v>
      </c>
    </row>
    <row r="30" spans="1:11" hidden="1" x14ac:dyDescent="0.3">
      <c r="A30" t="s">
        <v>59</v>
      </c>
      <c r="B30" t="s">
        <v>60</v>
      </c>
      <c r="C30">
        <v>6.5</v>
      </c>
      <c r="D30">
        <v>0.1</v>
      </c>
      <c r="E30">
        <v>1.62</v>
      </c>
      <c r="F30">
        <v>3.99</v>
      </c>
      <c r="G30">
        <f>ABS(D30)</f>
        <v>0.1</v>
      </c>
      <c r="H30">
        <f>-ABS(E30)</f>
        <v>-1.62</v>
      </c>
      <c r="I30">
        <f>ABS(F30)</f>
        <v>3.99</v>
      </c>
      <c r="J30">
        <f>C30*(1+H30/100)</f>
        <v>6.3947000000000003</v>
      </c>
      <c r="K30">
        <f>C30*(1+I30/100)</f>
        <v>6.7593500000000004</v>
      </c>
    </row>
    <row r="31" spans="1:11" x14ac:dyDescent="0.3">
      <c r="A31" t="s">
        <v>308</v>
      </c>
      <c r="B31" t="s">
        <v>308</v>
      </c>
      <c r="C31">
        <v>6.4130000000000006E-2</v>
      </c>
      <c r="D31">
        <v>1.1200000000000001</v>
      </c>
      <c r="E31">
        <v>3.11</v>
      </c>
      <c r="F31">
        <v>10.16</v>
      </c>
      <c r="G31">
        <f>ABS(D31)</f>
        <v>1.1200000000000001</v>
      </c>
      <c r="H31">
        <f>-ABS(E31)</f>
        <v>-3.11</v>
      </c>
      <c r="I31">
        <f>ABS(F31)</f>
        <v>10.16</v>
      </c>
      <c r="J31">
        <f>C31*(1+H31/100)</f>
        <v>6.2135557000000008E-2</v>
      </c>
      <c r="K31">
        <f>C31*(1+I31/100)</f>
        <v>7.0645607999999999E-2</v>
      </c>
    </row>
    <row r="32" spans="1:11" x14ac:dyDescent="0.3">
      <c r="A32" t="s">
        <v>105</v>
      </c>
      <c r="B32" t="s">
        <v>106</v>
      </c>
      <c r="C32">
        <v>2.0299999999999998</v>
      </c>
      <c r="D32">
        <v>1.1100000000000001</v>
      </c>
      <c r="E32">
        <v>3.64</v>
      </c>
      <c r="F32">
        <v>1.41</v>
      </c>
      <c r="G32">
        <f>ABS(D32)</f>
        <v>1.1100000000000001</v>
      </c>
      <c r="H32">
        <f>-ABS(E32)</f>
        <v>-3.64</v>
      </c>
      <c r="I32">
        <f>ABS(F32)</f>
        <v>1.41</v>
      </c>
      <c r="J32">
        <f>C32*(1+H32/100)</f>
        <v>1.9561079999999997</v>
      </c>
      <c r="K32">
        <f>C32*(1+I32/100)</f>
        <v>2.0586229999999999</v>
      </c>
    </row>
    <row r="33" spans="1:11" hidden="1" x14ac:dyDescent="0.3">
      <c r="A33" t="s">
        <v>65</v>
      </c>
      <c r="B33" t="s">
        <v>66</v>
      </c>
      <c r="C33">
        <v>4014.55</v>
      </c>
      <c r="D33">
        <v>0.04</v>
      </c>
      <c r="E33">
        <v>1.25</v>
      </c>
      <c r="F33">
        <v>2.5299999999999998</v>
      </c>
      <c r="G33">
        <f>ABS(D33)</f>
        <v>0.04</v>
      </c>
      <c r="H33">
        <f>-ABS(E33)</f>
        <v>-1.25</v>
      </c>
      <c r="I33">
        <f>ABS(F33)</f>
        <v>2.5299999999999998</v>
      </c>
      <c r="J33">
        <f>C33*(1+H33/100)</f>
        <v>3964.3681250000004</v>
      </c>
      <c r="K33">
        <f>C33*(1+I33/100)</f>
        <v>4116.1181150000002</v>
      </c>
    </row>
    <row r="34" spans="1:11" x14ac:dyDescent="0.3">
      <c r="A34" t="s">
        <v>294</v>
      </c>
      <c r="B34" t="s">
        <v>295</v>
      </c>
      <c r="C34">
        <v>6.9470000000000004E-2</v>
      </c>
      <c r="D34">
        <v>1.1100000000000001</v>
      </c>
      <c r="E34">
        <v>0.86</v>
      </c>
      <c r="F34">
        <v>0.46</v>
      </c>
      <c r="G34">
        <f>ABS(D34)</f>
        <v>1.1100000000000001</v>
      </c>
      <c r="H34">
        <f>-ABS(E34)</f>
        <v>-0.86</v>
      </c>
      <c r="I34">
        <f>ABS(F34)</f>
        <v>0.46</v>
      </c>
      <c r="J34">
        <f>C34*(1+H34/100)</f>
        <v>6.8872558E-2</v>
      </c>
      <c r="K34">
        <f>C34*(1+I34/100)</f>
        <v>6.9789561999999999E-2</v>
      </c>
    </row>
    <row r="35" spans="1:11" x14ac:dyDescent="0.3">
      <c r="A35" t="s">
        <v>304</v>
      </c>
      <c r="B35" t="s">
        <v>305</v>
      </c>
      <c r="C35">
        <v>0.25650000000000001</v>
      </c>
      <c r="D35">
        <v>1.1000000000000001</v>
      </c>
      <c r="E35">
        <v>3.08</v>
      </c>
      <c r="F35">
        <v>5.38</v>
      </c>
      <c r="G35">
        <f>ABS(D35)</f>
        <v>1.1000000000000001</v>
      </c>
      <c r="H35">
        <f>-ABS(E35)</f>
        <v>-3.08</v>
      </c>
      <c r="I35">
        <f>ABS(F35)</f>
        <v>5.38</v>
      </c>
      <c r="J35">
        <f>C35*(1+H35/100)</f>
        <v>0.24859979999999998</v>
      </c>
      <c r="K35">
        <f>C35*(1+I35/100)</f>
        <v>0.27029970000000003</v>
      </c>
    </row>
    <row r="36" spans="1:11" hidden="1" x14ac:dyDescent="0.3">
      <c r="A36" t="s">
        <v>71</v>
      </c>
      <c r="B36" t="s">
        <v>72</v>
      </c>
      <c r="C36">
        <v>196.83</v>
      </c>
      <c r="D36">
        <v>0.68</v>
      </c>
      <c r="E36">
        <v>5.25</v>
      </c>
      <c r="F36">
        <v>7.58</v>
      </c>
      <c r="G36">
        <f>ABS(D36)</f>
        <v>0.68</v>
      </c>
      <c r="H36">
        <f>-ABS(E36)</f>
        <v>-5.25</v>
      </c>
      <c r="I36">
        <f>ABS(F36)</f>
        <v>7.58</v>
      </c>
      <c r="J36">
        <f>C36*(1+H36/100)</f>
        <v>186.49642500000002</v>
      </c>
      <c r="K36">
        <f>C36*(1+I36/100)</f>
        <v>211.74971400000004</v>
      </c>
    </row>
    <row r="37" spans="1:11" x14ac:dyDescent="0.3">
      <c r="A37" t="s">
        <v>273</v>
      </c>
      <c r="B37" t="s">
        <v>273</v>
      </c>
      <c r="C37">
        <v>0.67269999999999996</v>
      </c>
      <c r="D37">
        <v>1.0900000000000001</v>
      </c>
      <c r="E37">
        <v>1.61</v>
      </c>
      <c r="F37">
        <v>7.86</v>
      </c>
      <c r="G37">
        <f>ABS(D37)</f>
        <v>1.0900000000000001</v>
      </c>
      <c r="H37">
        <f>-ABS(E37)</f>
        <v>-1.61</v>
      </c>
      <c r="I37">
        <f>ABS(F37)</f>
        <v>7.86</v>
      </c>
      <c r="J37">
        <f>C37*(1+H37/100)</f>
        <v>0.66186952999999993</v>
      </c>
      <c r="K37">
        <f>C37*(1+I37/100)</f>
        <v>0.72557421999999994</v>
      </c>
    </row>
    <row r="38" spans="1:11" hidden="1" x14ac:dyDescent="0.3">
      <c r="A38" t="s">
        <v>75</v>
      </c>
      <c r="B38" t="s">
        <v>76</v>
      </c>
      <c r="C38">
        <v>4011.77</v>
      </c>
      <c r="D38">
        <v>0.01</v>
      </c>
      <c r="E38">
        <v>1.35</v>
      </c>
      <c r="F38">
        <v>2.64</v>
      </c>
      <c r="G38">
        <f>ABS(D38)</f>
        <v>0.01</v>
      </c>
      <c r="H38">
        <f>-ABS(E38)</f>
        <v>-1.35</v>
      </c>
      <c r="I38">
        <f>ABS(F38)</f>
        <v>2.64</v>
      </c>
      <c r="J38">
        <f>C38*(1+H38/100)</f>
        <v>3957.611105</v>
      </c>
      <c r="K38">
        <f>C38*(1+I38/100)</f>
        <v>4117.6807280000003</v>
      </c>
    </row>
    <row r="39" spans="1:11" x14ac:dyDescent="0.3">
      <c r="A39" t="s">
        <v>312</v>
      </c>
      <c r="B39" t="s">
        <v>313</v>
      </c>
      <c r="C39">
        <v>7.2660000000000002E-2</v>
      </c>
      <c r="D39">
        <v>1.02</v>
      </c>
      <c r="E39">
        <v>1.54</v>
      </c>
      <c r="F39">
        <v>2.31</v>
      </c>
      <c r="G39">
        <f>ABS(D39)</f>
        <v>1.02</v>
      </c>
      <c r="H39">
        <f>-ABS(E39)</f>
        <v>-1.54</v>
      </c>
      <c r="I39">
        <f>ABS(F39)</f>
        <v>2.31</v>
      </c>
      <c r="J39">
        <f>C39*(1+H39/100)</f>
        <v>7.1541036000000002E-2</v>
      </c>
      <c r="K39">
        <f>C39*(1+I39/100)</f>
        <v>7.4338445999999989E-2</v>
      </c>
    </row>
    <row r="40" spans="1:11" x14ac:dyDescent="0.3">
      <c r="A40" t="s">
        <v>69</v>
      </c>
      <c r="B40" t="s">
        <v>70</v>
      </c>
      <c r="C40">
        <v>3.6</v>
      </c>
      <c r="D40">
        <v>0.9</v>
      </c>
      <c r="E40">
        <v>1.68</v>
      </c>
      <c r="F40">
        <v>14.04</v>
      </c>
      <c r="G40">
        <f>ABS(D40)</f>
        <v>0.9</v>
      </c>
      <c r="H40">
        <f>-ABS(E40)</f>
        <v>-1.68</v>
      </c>
      <c r="I40">
        <f>ABS(F40)</f>
        <v>14.04</v>
      </c>
      <c r="J40">
        <f>C40*(1+H40/100)</f>
        <v>3.53952</v>
      </c>
      <c r="K40">
        <f>C40*(1+I40/100)</f>
        <v>4.1054400000000006</v>
      </c>
    </row>
    <row r="41" spans="1:11" hidden="1" x14ac:dyDescent="0.3">
      <c r="A41" t="s">
        <v>81</v>
      </c>
      <c r="B41" t="s">
        <v>81</v>
      </c>
      <c r="C41">
        <v>80.209999999999994</v>
      </c>
      <c r="D41">
        <v>0.03</v>
      </c>
      <c r="E41">
        <v>0.21</v>
      </c>
      <c r="F41">
        <v>1.27</v>
      </c>
      <c r="G41">
        <f>ABS(D41)</f>
        <v>0.03</v>
      </c>
      <c r="H41">
        <f>-ABS(E41)</f>
        <v>-0.21</v>
      </c>
      <c r="I41">
        <f>ABS(F41)</f>
        <v>1.27</v>
      </c>
      <c r="J41">
        <f>C41*(1+H41/100)</f>
        <v>80.041558999999992</v>
      </c>
      <c r="K41">
        <f>C41*(1+I41/100)</f>
        <v>81.228666999999987</v>
      </c>
    </row>
    <row r="42" spans="1:11" x14ac:dyDescent="0.3">
      <c r="A42" t="s">
        <v>138</v>
      </c>
      <c r="B42" t="s">
        <v>139</v>
      </c>
      <c r="C42">
        <v>2.42</v>
      </c>
      <c r="D42">
        <v>0.89</v>
      </c>
      <c r="E42">
        <v>2.16</v>
      </c>
      <c r="F42">
        <v>4.26</v>
      </c>
      <c r="G42">
        <f>ABS(D42)</f>
        <v>0.89</v>
      </c>
      <c r="H42">
        <f>-ABS(E42)</f>
        <v>-2.16</v>
      </c>
      <c r="I42">
        <f>ABS(F42)</f>
        <v>4.26</v>
      </c>
      <c r="J42">
        <f>C42*(1+H42/100)</f>
        <v>2.3677280000000001</v>
      </c>
      <c r="K42">
        <f>C42*(1+I42/100)</f>
        <v>2.5230919999999997</v>
      </c>
    </row>
    <row r="43" spans="1:11" x14ac:dyDescent="0.3">
      <c r="A43" t="s">
        <v>241</v>
      </c>
      <c r="B43" t="s">
        <v>242</v>
      </c>
      <c r="C43">
        <v>4.3210000000000002E-3</v>
      </c>
      <c r="D43">
        <v>0.88</v>
      </c>
      <c r="E43">
        <v>0.5</v>
      </c>
      <c r="F43">
        <v>4.41</v>
      </c>
      <c r="G43">
        <f>ABS(D43)</f>
        <v>0.88</v>
      </c>
      <c r="H43">
        <f>-ABS(E43)</f>
        <v>-0.5</v>
      </c>
      <c r="I43">
        <f>ABS(F43)</f>
        <v>4.41</v>
      </c>
      <c r="J43">
        <f>C43*(1+H43/100)</f>
        <v>4.2993950000000001E-3</v>
      </c>
      <c r="K43">
        <f>C43*(1+I43/100)</f>
        <v>4.5115561000000004E-3</v>
      </c>
    </row>
    <row r="44" spans="1:11" x14ac:dyDescent="0.3">
      <c r="A44" t="s">
        <v>262</v>
      </c>
      <c r="B44" t="s">
        <v>263</v>
      </c>
      <c r="C44">
        <v>0.6452</v>
      </c>
      <c r="D44">
        <v>0.84</v>
      </c>
      <c r="E44">
        <v>4.3</v>
      </c>
      <c r="F44">
        <v>4.38</v>
      </c>
      <c r="G44">
        <f>ABS(D44)</f>
        <v>0.84</v>
      </c>
      <c r="H44">
        <f>-ABS(E44)</f>
        <v>-4.3</v>
      </c>
      <c r="I44">
        <f>ABS(F44)</f>
        <v>4.38</v>
      </c>
      <c r="J44">
        <f>C44*(1+H44/100)</f>
        <v>0.61745640000000002</v>
      </c>
      <c r="K44">
        <f>C44*(1+I44/100)</f>
        <v>0.67345976000000007</v>
      </c>
    </row>
    <row r="45" spans="1:11" hidden="1" x14ac:dyDescent="0.3">
      <c r="A45" t="s">
        <v>87</v>
      </c>
      <c r="B45" t="s">
        <v>88</v>
      </c>
      <c r="C45">
        <v>96.15</v>
      </c>
      <c r="D45">
        <v>0.67</v>
      </c>
      <c r="E45">
        <v>0.71</v>
      </c>
      <c r="F45">
        <v>2.71</v>
      </c>
      <c r="G45">
        <f>ABS(D45)</f>
        <v>0.67</v>
      </c>
      <c r="H45">
        <f>-ABS(E45)</f>
        <v>-0.71</v>
      </c>
      <c r="I45">
        <f>ABS(F45)</f>
        <v>2.71</v>
      </c>
      <c r="J45">
        <f>C45*(1+H45/100)</f>
        <v>95.467335000000006</v>
      </c>
      <c r="K45">
        <f>C45*(1+I45/100)</f>
        <v>98.755664999999993</v>
      </c>
    </row>
    <row r="46" spans="1:11" x14ac:dyDescent="0.3">
      <c r="A46" t="s">
        <v>338</v>
      </c>
      <c r="B46" t="s">
        <v>339</v>
      </c>
      <c r="C46">
        <v>2.0530000000000001E-3</v>
      </c>
      <c r="D46">
        <v>0.77</v>
      </c>
      <c r="E46">
        <v>1.01</v>
      </c>
      <c r="F46">
        <v>7.69</v>
      </c>
      <c r="G46">
        <f>ABS(D46)</f>
        <v>0.77</v>
      </c>
      <c r="H46">
        <f>-ABS(E46)</f>
        <v>-1.01</v>
      </c>
      <c r="I46">
        <f>ABS(F46)</f>
        <v>7.69</v>
      </c>
      <c r="J46">
        <f>C46*(1+H46/100)</f>
        <v>2.0322647E-3</v>
      </c>
      <c r="K46">
        <f>C46*(1+I46/100)</f>
        <v>2.2108757E-3</v>
      </c>
    </row>
    <row r="47" spans="1:11" x14ac:dyDescent="0.3">
      <c r="A47" t="s">
        <v>316</v>
      </c>
      <c r="B47" t="s">
        <v>317</v>
      </c>
      <c r="C47">
        <v>5.5835999999999997E-2</v>
      </c>
      <c r="D47">
        <v>0.75</v>
      </c>
      <c r="E47">
        <v>12.1</v>
      </c>
      <c r="F47">
        <v>12.01</v>
      </c>
      <c r="G47">
        <f>ABS(D47)</f>
        <v>0.75</v>
      </c>
      <c r="H47">
        <f>-ABS(E47)</f>
        <v>-12.1</v>
      </c>
      <c r="I47">
        <f>ABS(F47)</f>
        <v>12.01</v>
      </c>
      <c r="J47">
        <f>C47*(1+H47/100)</f>
        <v>4.9079843999999997E-2</v>
      </c>
      <c r="K47">
        <f>C47*(1+I47/100)</f>
        <v>6.2541903600000004E-2</v>
      </c>
    </row>
    <row r="48" spans="1:11" x14ac:dyDescent="0.3">
      <c r="A48" t="s">
        <v>89</v>
      </c>
      <c r="B48" t="s">
        <v>90</v>
      </c>
      <c r="C48">
        <v>0.4052</v>
      </c>
      <c r="D48">
        <v>0.73</v>
      </c>
      <c r="E48">
        <v>2.5099999999999998</v>
      </c>
      <c r="F48">
        <v>2.31</v>
      </c>
      <c r="G48">
        <f>ABS(D48)</f>
        <v>0.73</v>
      </c>
      <c r="H48">
        <f>-ABS(E48)</f>
        <v>-2.5099999999999998</v>
      </c>
      <c r="I48">
        <f>ABS(F48)</f>
        <v>2.31</v>
      </c>
      <c r="J48">
        <f>C48*(1+H48/100)</f>
        <v>0.39502947999999999</v>
      </c>
      <c r="K48">
        <f>C48*(1+I48/100)</f>
        <v>0.41456011999999998</v>
      </c>
    </row>
    <row r="49" spans="1:11" x14ac:dyDescent="0.3">
      <c r="A49" t="s">
        <v>127</v>
      </c>
      <c r="B49" t="s">
        <v>128</v>
      </c>
      <c r="C49">
        <v>1.48</v>
      </c>
      <c r="D49">
        <v>0.65</v>
      </c>
      <c r="E49">
        <v>2.11</v>
      </c>
      <c r="F49">
        <v>7.23</v>
      </c>
      <c r="G49">
        <f>ABS(D49)</f>
        <v>0.65</v>
      </c>
      <c r="H49">
        <f>-ABS(E49)</f>
        <v>-2.11</v>
      </c>
      <c r="I49">
        <f>ABS(F49)</f>
        <v>7.23</v>
      </c>
      <c r="J49">
        <f>C49*(1+H49/100)</f>
        <v>1.4487719999999999</v>
      </c>
      <c r="K49">
        <f>C49*(1+I49/100)</f>
        <v>1.5870040000000001</v>
      </c>
    </row>
    <row r="50" spans="1:11" x14ac:dyDescent="0.3">
      <c r="A50" t="s">
        <v>181</v>
      </c>
      <c r="B50" t="s">
        <v>182</v>
      </c>
      <c r="C50">
        <v>1.52</v>
      </c>
      <c r="D50">
        <v>0.65</v>
      </c>
      <c r="E50">
        <v>2.04</v>
      </c>
      <c r="F50">
        <v>8.4600000000000009</v>
      </c>
      <c r="G50">
        <f>ABS(D50)</f>
        <v>0.65</v>
      </c>
      <c r="H50">
        <f>-ABS(E50)</f>
        <v>-2.04</v>
      </c>
      <c r="I50">
        <f>ABS(F50)</f>
        <v>8.4600000000000009</v>
      </c>
      <c r="J50">
        <f>C50*(1+H50/100)</f>
        <v>1.4889920000000001</v>
      </c>
      <c r="K50">
        <f>C50*(1+I50/100)</f>
        <v>1.6485920000000001</v>
      </c>
    </row>
    <row r="51" spans="1:11" x14ac:dyDescent="0.3">
      <c r="A51" t="s">
        <v>300</v>
      </c>
      <c r="B51" t="s">
        <v>301</v>
      </c>
      <c r="C51">
        <v>1.33</v>
      </c>
      <c r="D51">
        <v>0.65</v>
      </c>
      <c r="E51">
        <v>7.46</v>
      </c>
      <c r="F51">
        <v>7.71</v>
      </c>
      <c r="G51">
        <f>ABS(D51)</f>
        <v>0.65</v>
      </c>
      <c r="H51">
        <f>-ABS(E51)</f>
        <v>-7.46</v>
      </c>
      <c r="I51">
        <f>ABS(F51)</f>
        <v>7.71</v>
      </c>
      <c r="J51">
        <f>C51*(1+H51/100)</f>
        <v>1.230782</v>
      </c>
      <c r="K51">
        <f>C51*(1+I51/100)</f>
        <v>1.4325429999999999</v>
      </c>
    </row>
    <row r="52" spans="1:11" x14ac:dyDescent="0.3">
      <c r="A52" t="s">
        <v>349</v>
      </c>
      <c r="B52" t="s">
        <v>350</v>
      </c>
      <c r="C52">
        <v>8.6499999999999999E-4</v>
      </c>
      <c r="D52">
        <v>0.65</v>
      </c>
      <c r="E52">
        <v>4.5199999999999996</v>
      </c>
      <c r="F52">
        <v>1.79</v>
      </c>
      <c r="G52">
        <f>ABS(D52)</f>
        <v>0.65</v>
      </c>
      <c r="H52">
        <f>-ABS(E52)</f>
        <v>-4.5199999999999996</v>
      </c>
      <c r="I52">
        <f>ABS(F52)</f>
        <v>1.79</v>
      </c>
      <c r="J52">
        <f>C52*(1+H52/100)</f>
        <v>8.2590199999999999E-4</v>
      </c>
      <c r="K52">
        <f>C52*(1+I52/100)</f>
        <v>8.804835E-4</v>
      </c>
    </row>
    <row r="53" spans="1:11" hidden="1" x14ac:dyDescent="0.3">
      <c r="A53" t="s">
        <v>103</v>
      </c>
      <c r="B53" t="s">
        <v>104</v>
      </c>
      <c r="C53">
        <v>6.89</v>
      </c>
      <c r="D53">
        <v>0.06</v>
      </c>
      <c r="E53">
        <v>1.96</v>
      </c>
      <c r="F53">
        <v>1.67</v>
      </c>
      <c r="G53">
        <f>ABS(D53)</f>
        <v>0.06</v>
      </c>
      <c r="H53">
        <f>-ABS(E53)</f>
        <v>-1.96</v>
      </c>
      <c r="I53">
        <f>ABS(F53)</f>
        <v>1.67</v>
      </c>
      <c r="J53">
        <f>C53*(1+H53/100)</f>
        <v>6.754956</v>
      </c>
      <c r="K53">
        <f>C53*(1+I53/100)</f>
        <v>7.0050629999999989</v>
      </c>
    </row>
    <row r="54" spans="1:11" x14ac:dyDescent="0.3">
      <c r="A54" t="s">
        <v>211</v>
      </c>
      <c r="B54" t="s">
        <v>212</v>
      </c>
      <c r="C54">
        <v>2.264E-2</v>
      </c>
      <c r="D54">
        <v>0.63</v>
      </c>
      <c r="E54">
        <v>1.86</v>
      </c>
      <c r="F54">
        <v>8.01</v>
      </c>
      <c r="G54">
        <f>ABS(D54)</f>
        <v>0.63</v>
      </c>
      <c r="H54">
        <f>-ABS(E54)</f>
        <v>-1.86</v>
      </c>
      <c r="I54">
        <f>ABS(F54)</f>
        <v>8.01</v>
      </c>
      <c r="J54">
        <f>C54*(1+H54/100)</f>
        <v>2.2218896000000002E-2</v>
      </c>
      <c r="K54">
        <f>C54*(1+I54/100)</f>
        <v>2.4453464000000001E-2</v>
      </c>
    </row>
    <row r="55" spans="1:11" x14ac:dyDescent="0.3">
      <c r="A55" t="s">
        <v>362</v>
      </c>
      <c r="B55" t="s">
        <v>363</v>
      </c>
      <c r="C55">
        <v>0.52710000000000001</v>
      </c>
      <c r="D55">
        <v>0.6</v>
      </c>
      <c r="E55">
        <v>1.62</v>
      </c>
      <c r="F55">
        <v>24.42</v>
      </c>
      <c r="G55">
        <f>ABS(D55)</f>
        <v>0.6</v>
      </c>
      <c r="H55">
        <f>-ABS(E55)</f>
        <v>-1.62</v>
      </c>
      <c r="I55">
        <f>ABS(F55)</f>
        <v>24.42</v>
      </c>
      <c r="J55">
        <f>C55*(1+H55/100)</f>
        <v>0.51856098000000006</v>
      </c>
      <c r="K55">
        <f>C55*(1+I55/100)</f>
        <v>0.65581782</v>
      </c>
    </row>
    <row r="56" spans="1:11" hidden="1" x14ac:dyDescent="0.3">
      <c r="A56" t="s">
        <v>109</v>
      </c>
      <c r="B56" t="s">
        <v>110</v>
      </c>
      <c r="C56">
        <v>6.84</v>
      </c>
      <c r="D56">
        <v>0.11</v>
      </c>
      <c r="E56">
        <v>0.95</v>
      </c>
      <c r="F56">
        <v>2.9</v>
      </c>
      <c r="G56">
        <f>ABS(D56)</f>
        <v>0.11</v>
      </c>
      <c r="H56">
        <f>-ABS(E56)</f>
        <v>-0.95</v>
      </c>
      <c r="I56">
        <f>ABS(F56)</f>
        <v>2.9</v>
      </c>
      <c r="J56">
        <f>C56*(1+H56/100)</f>
        <v>6.7750200000000005</v>
      </c>
      <c r="K56">
        <f>C56*(1+I56/100)</f>
        <v>7.0383599999999991</v>
      </c>
    </row>
    <row r="57" spans="1:11" x14ac:dyDescent="0.3">
      <c r="A57" t="s">
        <v>302</v>
      </c>
      <c r="B57" t="s">
        <v>303</v>
      </c>
      <c r="C57">
        <v>0.1285</v>
      </c>
      <c r="D57">
        <v>0.59</v>
      </c>
      <c r="E57">
        <v>9.43</v>
      </c>
      <c r="F57">
        <v>6.08</v>
      </c>
      <c r="G57">
        <f>ABS(D57)</f>
        <v>0.59</v>
      </c>
      <c r="H57">
        <f>-ABS(E57)</f>
        <v>-9.43</v>
      </c>
      <c r="I57">
        <f>ABS(F57)</f>
        <v>6.08</v>
      </c>
      <c r="J57">
        <f>C57*(1+H57/100)</f>
        <v>0.11638245</v>
      </c>
      <c r="K57">
        <f>C57*(1+I57/100)</f>
        <v>0.13631280000000001</v>
      </c>
    </row>
    <row r="58" spans="1:11" x14ac:dyDescent="0.3">
      <c r="A58" t="s">
        <v>189</v>
      </c>
      <c r="B58" t="s">
        <v>190</v>
      </c>
      <c r="C58">
        <v>4.7410000000000001E-2</v>
      </c>
      <c r="D58">
        <v>0.57999999999999996</v>
      </c>
      <c r="E58">
        <v>1.9</v>
      </c>
      <c r="F58">
        <v>4.28</v>
      </c>
      <c r="G58">
        <f>ABS(D58)</f>
        <v>0.57999999999999996</v>
      </c>
      <c r="H58">
        <f>-ABS(E58)</f>
        <v>-1.9</v>
      </c>
      <c r="I58">
        <f>ABS(F58)</f>
        <v>4.28</v>
      </c>
      <c r="J58">
        <f>C58*(1+H58/100)</f>
        <v>4.6509210000000002E-2</v>
      </c>
      <c r="K58">
        <f>C58*(1+I58/100)</f>
        <v>4.9439147999999995E-2</v>
      </c>
    </row>
    <row r="59" spans="1:11" x14ac:dyDescent="0.3">
      <c r="A59" t="s">
        <v>193</v>
      </c>
      <c r="B59" t="s">
        <v>194</v>
      </c>
      <c r="C59">
        <v>5.3759000000000001E-2</v>
      </c>
      <c r="D59">
        <v>0.56999999999999995</v>
      </c>
      <c r="E59">
        <v>4.1500000000000004</v>
      </c>
      <c r="F59">
        <v>12</v>
      </c>
      <c r="G59">
        <f>ABS(D59)</f>
        <v>0.56999999999999995</v>
      </c>
      <c r="H59">
        <f>-ABS(E59)</f>
        <v>-4.1500000000000004</v>
      </c>
      <c r="I59">
        <f>ABS(F59)</f>
        <v>12</v>
      </c>
      <c r="J59">
        <f>C59*(1+H59/100)</f>
        <v>5.1528001500000004E-2</v>
      </c>
      <c r="K59">
        <f>C59*(1+I59/100)</f>
        <v>6.0210080000000006E-2</v>
      </c>
    </row>
    <row r="60" spans="1:11" x14ac:dyDescent="0.3">
      <c r="A60" t="s">
        <v>374</v>
      </c>
      <c r="B60" t="s">
        <v>375</v>
      </c>
      <c r="C60">
        <v>1.01</v>
      </c>
      <c r="D60">
        <v>0.56999999999999995</v>
      </c>
      <c r="E60">
        <v>0.36</v>
      </c>
      <c r="F60">
        <v>0.19</v>
      </c>
      <c r="G60">
        <f>ABS(D60)</f>
        <v>0.56999999999999995</v>
      </c>
      <c r="H60">
        <f>-ABS(E60)</f>
        <v>-0.36</v>
      </c>
      <c r="I60">
        <f>ABS(F60)</f>
        <v>0.19</v>
      </c>
      <c r="J60">
        <f>C60*(1+H60/100)</f>
        <v>1.006364</v>
      </c>
      <c r="K60">
        <f>C60*(1+I60/100)</f>
        <v>1.011919</v>
      </c>
    </row>
    <row r="61" spans="1:11" x14ac:dyDescent="0.3">
      <c r="A61" t="s">
        <v>223</v>
      </c>
      <c r="B61" t="s">
        <v>224</v>
      </c>
      <c r="C61">
        <v>6.9510000000000002E-2</v>
      </c>
      <c r="D61">
        <v>0.56000000000000005</v>
      </c>
      <c r="E61">
        <v>2.35</v>
      </c>
      <c r="F61">
        <v>4.4800000000000004</v>
      </c>
      <c r="G61">
        <f>ABS(D61)</f>
        <v>0.56000000000000005</v>
      </c>
      <c r="H61">
        <f>-ABS(E61)</f>
        <v>-2.35</v>
      </c>
      <c r="I61">
        <f>ABS(F61)</f>
        <v>4.4800000000000004</v>
      </c>
      <c r="J61">
        <f>C61*(1+H61/100)</f>
        <v>6.7876514999999998E-2</v>
      </c>
      <c r="K61">
        <f>C61*(1+I61/100)</f>
        <v>7.2624047999999997E-2</v>
      </c>
    </row>
    <row r="62" spans="1:11" x14ac:dyDescent="0.3">
      <c r="A62" t="s">
        <v>111</v>
      </c>
      <c r="B62" t="s">
        <v>112</v>
      </c>
      <c r="C62">
        <v>3.7080000000000002E-2</v>
      </c>
      <c r="D62">
        <v>0.55000000000000004</v>
      </c>
      <c r="E62">
        <v>0.65</v>
      </c>
      <c r="F62">
        <v>8.14</v>
      </c>
      <c r="G62">
        <f>ABS(D62)</f>
        <v>0.55000000000000004</v>
      </c>
      <c r="H62">
        <f>-ABS(E62)</f>
        <v>-0.65</v>
      </c>
      <c r="I62">
        <f>ABS(F62)</f>
        <v>8.14</v>
      </c>
      <c r="J62">
        <f>C62*(1+H62/100)</f>
        <v>3.683898E-2</v>
      </c>
      <c r="K62">
        <f>C62*(1+I62/100)</f>
        <v>4.0098311999999997E-2</v>
      </c>
    </row>
    <row r="63" spans="1:11" x14ac:dyDescent="0.3">
      <c r="A63" t="s">
        <v>229</v>
      </c>
      <c r="B63" t="s">
        <v>230</v>
      </c>
      <c r="C63">
        <v>9.035E-2</v>
      </c>
      <c r="D63">
        <v>0.55000000000000004</v>
      </c>
      <c r="E63">
        <v>0.39</v>
      </c>
      <c r="F63">
        <v>15.04</v>
      </c>
      <c r="G63">
        <f>ABS(D63)</f>
        <v>0.55000000000000004</v>
      </c>
      <c r="H63">
        <f>-ABS(E63)</f>
        <v>-0.39</v>
      </c>
      <c r="I63">
        <f>ABS(F63)</f>
        <v>15.04</v>
      </c>
      <c r="J63">
        <f>C63*(1+H63/100)</f>
        <v>8.9997634999999993E-2</v>
      </c>
      <c r="K63">
        <f>C63*(1+I63/100)</f>
        <v>0.10393863999999998</v>
      </c>
    </row>
    <row r="64" spans="1:11" x14ac:dyDescent="0.3">
      <c r="A64" t="s">
        <v>144</v>
      </c>
      <c r="B64" t="s">
        <v>145</v>
      </c>
      <c r="C64">
        <v>8.9899999999999994E-2</v>
      </c>
      <c r="D64">
        <v>0.51</v>
      </c>
      <c r="E64">
        <v>3.5</v>
      </c>
      <c r="F64">
        <v>14.22</v>
      </c>
      <c r="G64">
        <f>ABS(D64)</f>
        <v>0.51</v>
      </c>
      <c r="H64">
        <f>-ABS(E64)</f>
        <v>-3.5</v>
      </c>
      <c r="I64">
        <f>ABS(F64)</f>
        <v>14.22</v>
      </c>
      <c r="J64">
        <f>C64*(1+H64/100)</f>
        <v>8.6753499999999997E-2</v>
      </c>
      <c r="K64">
        <f>C64*(1+I64/100)</f>
        <v>0.10268377999999999</v>
      </c>
    </row>
    <row r="65" spans="1:11" x14ac:dyDescent="0.3">
      <c r="A65" t="s">
        <v>209</v>
      </c>
      <c r="B65" t="s">
        <v>210</v>
      </c>
      <c r="C65">
        <v>0.32269999999999999</v>
      </c>
      <c r="D65">
        <v>0.51</v>
      </c>
      <c r="E65">
        <v>3.86</v>
      </c>
      <c r="F65">
        <v>12.86</v>
      </c>
      <c r="G65">
        <f>ABS(D65)</f>
        <v>0.51</v>
      </c>
      <c r="H65">
        <f>-ABS(E65)</f>
        <v>-3.86</v>
      </c>
      <c r="I65">
        <f>ABS(F65)</f>
        <v>12.86</v>
      </c>
      <c r="J65">
        <f>C65*(1+H65/100)</f>
        <v>0.31024378000000002</v>
      </c>
      <c r="K65">
        <f>C65*(1+I65/100)</f>
        <v>0.36419921999999999</v>
      </c>
    </row>
    <row r="66" spans="1:11" hidden="1" x14ac:dyDescent="0.3">
      <c r="A66" t="s">
        <v>129</v>
      </c>
      <c r="B66" t="s">
        <v>130</v>
      </c>
      <c r="C66">
        <v>63.97</v>
      </c>
      <c r="D66">
        <v>0.1</v>
      </c>
      <c r="E66">
        <v>3.14</v>
      </c>
      <c r="F66">
        <v>2.84</v>
      </c>
      <c r="G66">
        <f>ABS(D66)</f>
        <v>0.1</v>
      </c>
      <c r="H66">
        <f>-ABS(E66)</f>
        <v>-3.14</v>
      </c>
      <c r="I66">
        <f>ABS(F66)</f>
        <v>2.84</v>
      </c>
      <c r="J66">
        <f>C66*(1+H66/100)</f>
        <v>61.961342000000002</v>
      </c>
      <c r="K66">
        <f>C66*(1+I66/100)</f>
        <v>65.786748000000003</v>
      </c>
    </row>
    <row r="67" spans="1:11" x14ac:dyDescent="0.3">
      <c r="A67" t="s">
        <v>370</v>
      </c>
      <c r="B67" t="s">
        <v>371</v>
      </c>
      <c r="C67">
        <v>0.2334</v>
      </c>
      <c r="D67">
        <v>0.51</v>
      </c>
      <c r="E67">
        <v>1.45</v>
      </c>
      <c r="F67">
        <v>4.13</v>
      </c>
      <c r="G67">
        <f>ABS(D67)</f>
        <v>0.51</v>
      </c>
      <c r="H67">
        <f>-ABS(E67)</f>
        <v>-1.45</v>
      </c>
      <c r="I67">
        <f>ABS(F67)</f>
        <v>4.13</v>
      </c>
      <c r="J67">
        <f>C67*(1+H67/100)</f>
        <v>0.23001570000000002</v>
      </c>
      <c r="K67">
        <f>C67*(1+I67/100)</f>
        <v>0.24303941999999998</v>
      </c>
    </row>
    <row r="68" spans="1:11" x14ac:dyDescent="0.3">
      <c r="A68" t="s">
        <v>43</v>
      </c>
      <c r="B68" t="s">
        <v>44</v>
      </c>
      <c r="C68">
        <v>1.58</v>
      </c>
      <c r="D68">
        <v>0.49</v>
      </c>
      <c r="E68">
        <v>1.31</v>
      </c>
      <c r="F68">
        <v>5.6</v>
      </c>
      <c r="G68">
        <f>ABS(D68)</f>
        <v>0.49</v>
      </c>
      <c r="H68">
        <f>-ABS(E68)</f>
        <v>-1.31</v>
      </c>
      <c r="I68">
        <f>ABS(F68)</f>
        <v>5.6</v>
      </c>
      <c r="J68">
        <f>C68*(1+H68/100)</f>
        <v>1.559302</v>
      </c>
      <c r="K68">
        <f>C68*(1+I68/100)</f>
        <v>1.6684800000000002</v>
      </c>
    </row>
    <row r="69" spans="1:11" hidden="1" x14ac:dyDescent="0.3">
      <c r="A69" t="s">
        <v>134</v>
      </c>
      <c r="B69" t="s">
        <v>135</v>
      </c>
      <c r="C69">
        <v>6.63</v>
      </c>
      <c r="D69">
        <v>0.03</v>
      </c>
      <c r="E69">
        <v>0.75</v>
      </c>
      <c r="F69">
        <v>1.55</v>
      </c>
      <c r="G69">
        <f>ABS(D69)</f>
        <v>0.03</v>
      </c>
      <c r="H69">
        <f>-ABS(E69)</f>
        <v>-0.75</v>
      </c>
      <c r="I69">
        <f>ABS(F69)</f>
        <v>1.55</v>
      </c>
      <c r="J69">
        <f>C69*(1+H69/100)</f>
        <v>6.5802750000000003</v>
      </c>
      <c r="K69">
        <f>C69*(1+I69/100)</f>
        <v>6.7327650000000006</v>
      </c>
    </row>
    <row r="70" spans="1:11" x14ac:dyDescent="0.3">
      <c r="A70" t="s">
        <v>330</v>
      </c>
      <c r="B70" t="s">
        <v>331</v>
      </c>
      <c r="C70">
        <v>1.018E-2</v>
      </c>
      <c r="D70">
        <v>0.45</v>
      </c>
      <c r="E70">
        <v>0.32</v>
      </c>
      <c r="F70">
        <v>6.68</v>
      </c>
      <c r="G70">
        <f>ABS(D70)</f>
        <v>0.45</v>
      </c>
      <c r="H70">
        <f>-ABS(E70)</f>
        <v>-0.32</v>
      </c>
      <c r="I70">
        <f>ABS(F70)</f>
        <v>6.68</v>
      </c>
      <c r="J70">
        <f>C70*(1+H70/100)</f>
        <v>1.0147424E-2</v>
      </c>
      <c r="K70">
        <f>C70*(1+I70/100)</f>
        <v>1.0860023999999999E-2</v>
      </c>
    </row>
    <row r="71" spans="1:11" x14ac:dyDescent="0.3">
      <c r="A71" t="s">
        <v>154</v>
      </c>
      <c r="B71" t="s">
        <v>155</v>
      </c>
      <c r="C71">
        <v>5</v>
      </c>
      <c r="D71">
        <v>0.42</v>
      </c>
      <c r="E71">
        <v>5.07</v>
      </c>
      <c r="F71">
        <v>5.08</v>
      </c>
      <c r="G71">
        <f>ABS(D71)</f>
        <v>0.42</v>
      </c>
      <c r="H71">
        <f>-ABS(E71)</f>
        <v>-5.07</v>
      </c>
      <c r="I71">
        <f>ABS(F71)</f>
        <v>5.08</v>
      </c>
      <c r="J71">
        <f>C71*(1+H71/100)</f>
        <v>4.7465000000000002</v>
      </c>
      <c r="K71">
        <f>C71*(1+I71/100)</f>
        <v>5.2539999999999996</v>
      </c>
    </row>
    <row r="72" spans="1:11" x14ac:dyDescent="0.3">
      <c r="A72" t="s">
        <v>117</v>
      </c>
      <c r="B72" t="s">
        <v>118</v>
      </c>
      <c r="C72">
        <v>2.64</v>
      </c>
      <c r="D72">
        <v>0.41</v>
      </c>
      <c r="E72">
        <v>1.43</v>
      </c>
      <c r="F72">
        <v>1.17</v>
      </c>
      <c r="G72">
        <f>ABS(D72)</f>
        <v>0.41</v>
      </c>
      <c r="H72">
        <f>-ABS(E72)</f>
        <v>-1.43</v>
      </c>
      <c r="I72">
        <f>ABS(F72)</f>
        <v>1.17</v>
      </c>
      <c r="J72">
        <f>C72*(1+H72/100)</f>
        <v>2.6022480000000003</v>
      </c>
      <c r="K72">
        <f>C72*(1+I72/100)</f>
        <v>2.6708880000000002</v>
      </c>
    </row>
    <row r="73" spans="1:11" x14ac:dyDescent="0.3">
      <c r="A73" t="s">
        <v>358</v>
      </c>
      <c r="B73" t="s">
        <v>359</v>
      </c>
      <c r="C73">
        <v>4.9029999999999997E-2</v>
      </c>
      <c r="D73">
        <v>0.4</v>
      </c>
      <c r="E73">
        <v>3.68</v>
      </c>
      <c r="F73">
        <v>61.45</v>
      </c>
      <c r="G73">
        <f>ABS(D73)</f>
        <v>0.4</v>
      </c>
      <c r="H73">
        <f>-ABS(E73)</f>
        <v>-3.68</v>
      </c>
      <c r="I73">
        <f>ABS(F73)</f>
        <v>61.45</v>
      </c>
      <c r="J73">
        <f>C73*(1+H73/100)</f>
        <v>4.7225695999999998E-2</v>
      </c>
      <c r="K73">
        <f>C73*(1+I73/100)</f>
        <v>7.9158935E-2</v>
      </c>
    </row>
    <row r="74" spans="1:11" x14ac:dyDescent="0.3">
      <c r="A74" t="s">
        <v>183</v>
      </c>
      <c r="B74" t="s">
        <v>184</v>
      </c>
      <c r="C74">
        <v>0.16039999999999999</v>
      </c>
      <c r="D74">
        <v>0.39</v>
      </c>
      <c r="E74">
        <v>0.09</v>
      </c>
      <c r="F74">
        <v>4.25</v>
      </c>
      <c r="G74">
        <f>ABS(D74)</f>
        <v>0.39</v>
      </c>
      <c r="H74">
        <f>-ABS(E74)</f>
        <v>-0.09</v>
      </c>
      <c r="I74">
        <f>ABS(F74)</f>
        <v>4.25</v>
      </c>
      <c r="J74">
        <f>C74*(1+H74/100)</f>
        <v>0.16025563999999998</v>
      </c>
      <c r="K74">
        <f>C74*(1+I74/100)</f>
        <v>0.16721699999999998</v>
      </c>
    </row>
    <row r="75" spans="1:11" x14ac:dyDescent="0.3">
      <c r="A75" t="s">
        <v>366</v>
      </c>
      <c r="B75" t="s">
        <v>367</v>
      </c>
      <c r="C75">
        <v>0.52039999999999997</v>
      </c>
      <c r="D75">
        <v>0.36</v>
      </c>
      <c r="E75">
        <v>4.57</v>
      </c>
      <c r="F75">
        <v>5.96</v>
      </c>
      <c r="G75">
        <f>ABS(D75)</f>
        <v>0.36</v>
      </c>
      <c r="H75">
        <f>-ABS(E75)</f>
        <v>-4.57</v>
      </c>
      <c r="I75">
        <f>ABS(F75)</f>
        <v>5.96</v>
      </c>
      <c r="J75">
        <f>C75*(1+H75/100)</f>
        <v>0.49661771999999998</v>
      </c>
      <c r="K75">
        <f>C75*(1+I75/100)</f>
        <v>0.55141583999999999</v>
      </c>
    </row>
    <row r="76" spans="1:11" x14ac:dyDescent="0.3">
      <c r="A76" t="s">
        <v>175</v>
      </c>
      <c r="B76" t="s">
        <v>176</v>
      </c>
      <c r="C76">
        <v>4.6249999999999999E-2</v>
      </c>
      <c r="D76">
        <v>0.35</v>
      </c>
      <c r="E76">
        <v>3.22</v>
      </c>
      <c r="F76">
        <v>3.11</v>
      </c>
      <c r="G76">
        <f>ABS(D76)</f>
        <v>0.35</v>
      </c>
      <c r="H76">
        <f>-ABS(E76)</f>
        <v>-3.22</v>
      </c>
      <c r="I76">
        <f>ABS(F76)</f>
        <v>3.11</v>
      </c>
      <c r="J76">
        <f>C76*(1+H76/100)</f>
        <v>4.4760750000000002E-2</v>
      </c>
      <c r="K76">
        <f>C76*(1+I76/100)</f>
        <v>4.7688374999999998E-2</v>
      </c>
    </row>
    <row r="77" spans="1:11" hidden="1" x14ac:dyDescent="0.3">
      <c r="A77" t="s">
        <v>150</v>
      </c>
      <c r="B77" t="s">
        <v>151</v>
      </c>
      <c r="C77">
        <v>11.12</v>
      </c>
      <c r="D77">
        <v>0.53</v>
      </c>
      <c r="E77">
        <v>5.12</v>
      </c>
      <c r="F77">
        <v>0.41</v>
      </c>
      <c r="G77">
        <f>ABS(D77)</f>
        <v>0.53</v>
      </c>
      <c r="H77">
        <f>-ABS(E77)</f>
        <v>-5.12</v>
      </c>
      <c r="I77">
        <f>ABS(F77)</f>
        <v>0.41</v>
      </c>
      <c r="J77">
        <f>C77*(1+H77/100)</f>
        <v>10.550655999999998</v>
      </c>
      <c r="K77">
        <f>C77*(1+I77/100)</f>
        <v>11.165591999999998</v>
      </c>
    </row>
    <row r="78" spans="1:11" x14ac:dyDescent="0.3">
      <c r="A78" t="s">
        <v>332</v>
      </c>
      <c r="B78" t="s">
        <v>333</v>
      </c>
      <c r="C78">
        <v>7.2539999999999993E-2</v>
      </c>
      <c r="D78">
        <v>0.34</v>
      </c>
      <c r="E78">
        <v>0.76</v>
      </c>
      <c r="F78">
        <v>1.1499999999999999</v>
      </c>
      <c r="G78">
        <f>ABS(D78)</f>
        <v>0.34</v>
      </c>
      <c r="H78">
        <f>-ABS(E78)</f>
        <v>-0.76</v>
      </c>
      <c r="I78">
        <f>ABS(F78)</f>
        <v>1.1499999999999999</v>
      </c>
      <c r="J78">
        <f>C78*(1+H78/100)</f>
        <v>7.1988695999999991E-2</v>
      </c>
      <c r="K78">
        <f>C78*(1+I78/100)</f>
        <v>7.3374209999999995E-2</v>
      </c>
    </row>
    <row r="79" spans="1:11" x14ac:dyDescent="0.3">
      <c r="A79" t="s">
        <v>63</v>
      </c>
      <c r="B79" t="s">
        <v>64</v>
      </c>
      <c r="C79">
        <v>5.3990000000000003E-2</v>
      </c>
      <c r="D79">
        <v>0.31</v>
      </c>
      <c r="E79">
        <v>2.64</v>
      </c>
      <c r="F79">
        <v>6.9</v>
      </c>
      <c r="G79">
        <f>ABS(D79)</f>
        <v>0.31</v>
      </c>
      <c r="H79">
        <f>-ABS(E79)</f>
        <v>-2.64</v>
      </c>
      <c r="I79">
        <f>ABS(F79)</f>
        <v>6.9</v>
      </c>
      <c r="J79">
        <f>C79*(1+H79/100)</f>
        <v>5.2564664000000004E-2</v>
      </c>
      <c r="K79">
        <f>C79*(1+I79/100)</f>
        <v>5.7715309999999999E-2</v>
      </c>
    </row>
    <row r="80" spans="1:11" x14ac:dyDescent="0.3">
      <c r="A80" t="s">
        <v>95</v>
      </c>
      <c r="B80" t="s">
        <v>96</v>
      </c>
      <c r="C80">
        <v>0.4209</v>
      </c>
      <c r="D80">
        <v>0.31</v>
      </c>
      <c r="E80">
        <v>0.79</v>
      </c>
      <c r="F80">
        <v>2.62</v>
      </c>
      <c r="G80">
        <f>ABS(D80)</f>
        <v>0.31</v>
      </c>
      <c r="H80">
        <f>-ABS(E80)</f>
        <v>-0.79</v>
      </c>
      <c r="I80">
        <f>ABS(F80)</f>
        <v>2.62</v>
      </c>
      <c r="J80">
        <f>C80*(1+H80/100)</f>
        <v>0.41757488999999998</v>
      </c>
      <c r="K80">
        <f>C80*(1+I80/100)</f>
        <v>0.43192757999999998</v>
      </c>
    </row>
    <row r="81" spans="1:11" x14ac:dyDescent="0.3">
      <c r="A81" t="s">
        <v>342</v>
      </c>
      <c r="B81" t="s">
        <v>343</v>
      </c>
      <c r="C81">
        <v>1.3729999999999999E-2</v>
      </c>
      <c r="D81">
        <v>0.31</v>
      </c>
      <c r="E81">
        <v>3.87</v>
      </c>
      <c r="F81">
        <v>9.2200000000000006</v>
      </c>
      <c r="G81">
        <f>ABS(D81)</f>
        <v>0.31</v>
      </c>
      <c r="H81">
        <f>-ABS(E81)</f>
        <v>-3.87</v>
      </c>
      <c r="I81">
        <f>ABS(F81)</f>
        <v>9.2200000000000006</v>
      </c>
      <c r="J81">
        <f>C81*(1+H81/100)</f>
        <v>1.3198649E-2</v>
      </c>
      <c r="K81">
        <f>C81*(1+I81/100)</f>
        <v>1.4995906E-2</v>
      </c>
    </row>
    <row r="82" spans="1:11" x14ac:dyDescent="0.3">
      <c r="A82" t="s">
        <v>136</v>
      </c>
      <c r="B82" t="s">
        <v>137</v>
      </c>
      <c r="C82">
        <v>0.2021</v>
      </c>
      <c r="D82">
        <v>0.3</v>
      </c>
      <c r="E82">
        <v>0.63</v>
      </c>
      <c r="F82">
        <v>15.39</v>
      </c>
      <c r="G82">
        <f>ABS(D82)</f>
        <v>0.3</v>
      </c>
      <c r="H82">
        <f>-ABS(E82)</f>
        <v>-0.63</v>
      </c>
      <c r="I82">
        <f>ABS(F82)</f>
        <v>15.39</v>
      </c>
      <c r="J82">
        <f>C82*(1+H82/100)</f>
        <v>0.20082677000000002</v>
      </c>
      <c r="K82">
        <f>C82*(1+I82/100)</f>
        <v>0.23320318999999998</v>
      </c>
    </row>
    <row r="83" spans="1:11" x14ac:dyDescent="0.3">
      <c r="A83" t="s">
        <v>213</v>
      </c>
      <c r="B83" t="s">
        <v>214</v>
      </c>
      <c r="C83">
        <v>6.2708E-2</v>
      </c>
      <c r="D83">
        <v>0.3</v>
      </c>
      <c r="E83">
        <v>1.55</v>
      </c>
      <c r="F83">
        <v>1.59</v>
      </c>
      <c r="G83">
        <f>ABS(D83)</f>
        <v>0.3</v>
      </c>
      <c r="H83">
        <f>-ABS(E83)</f>
        <v>-1.55</v>
      </c>
      <c r="I83">
        <f>ABS(F83)</f>
        <v>1.59</v>
      </c>
      <c r="J83">
        <f>C83*(1+H83/100)</f>
        <v>6.1736025999999999E-2</v>
      </c>
      <c r="K83">
        <f>C83*(1+I83/100)</f>
        <v>6.3705057199999998E-2</v>
      </c>
    </row>
    <row r="84" spans="1:11" x14ac:dyDescent="0.3">
      <c r="A84" t="s">
        <v>386</v>
      </c>
      <c r="B84" t="s">
        <v>387</v>
      </c>
      <c r="C84">
        <v>0.19889999999999999</v>
      </c>
      <c r="D84">
        <v>0.28000000000000003</v>
      </c>
      <c r="E84">
        <v>7.0000000000000007E-2</v>
      </c>
      <c r="F84">
        <v>5.62</v>
      </c>
      <c r="G84">
        <f>ABS(D84)</f>
        <v>0.28000000000000003</v>
      </c>
      <c r="H84">
        <f>-ABS(E84)</f>
        <v>-7.0000000000000007E-2</v>
      </c>
      <c r="I84">
        <f>ABS(F84)</f>
        <v>5.62</v>
      </c>
      <c r="J84">
        <f>C84*(1+H84/100)</f>
        <v>0.19876076999999998</v>
      </c>
      <c r="K84">
        <f>C84*(1+I84/100)</f>
        <v>0.21007818</v>
      </c>
    </row>
    <row r="85" spans="1:11" x14ac:dyDescent="0.3">
      <c r="A85" t="s">
        <v>197</v>
      </c>
      <c r="B85" t="s">
        <v>198</v>
      </c>
      <c r="C85">
        <v>5.8E-5</v>
      </c>
      <c r="D85">
        <v>0.27</v>
      </c>
      <c r="E85">
        <v>2.88</v>
      </c>
      <c r="F85">
        <v>4.18</v>
      </c>
      <c r="G85">
        <f>ABS(D85)</f>
        <v>0.27</v>
      </c>
      <c r="H85">
        <f>-ABS(E85)</f>
        <v>-2.88</v>
      </c>
      <c r="I85">
        <f>ABS(F85)</f>
        <v>4.18</v>
      </c>
      <c r="J85">
        <f>C85*(1+H85/100)</f>
        <v>5.6329599999999997E-5</v>
      </c>
      <c r="K85">
        <f>C85*(1+I85/100)</f>
        <v>6.0424400000000004E-5</v>
      </c>
    </row>
    <row r="86" spans="1:11" hidden="1" x14ac:dyDescent="0.3">
      <c r="A86" t="s">
        <v>167</v>
      </c>
      <c r="B86" t="s">
        <v>168</v>
      </c>
      <c r="C86">
        <v>32.9</v>
      </c>
      <c r="D86">
        <v>0.22</v>
      </c>
      <c r="E86">
        <v>3.42</v>
      </c>
      <c r="F86">
        <v>6.79</v>
      </c>
      <c r="G86">
        <f>ABS(D86)</f>
        <v>0.22</v>
      </c>
      <c r="H86">
        <f>-ABS(E86)</f>
        <v>-3.42</v>
      </c>
      <c r="I86">
        <f>ABS(F86)</f>
        <v>6.79</v>
      </c>
      <c r="J86">
        <f>C86*(1+H86/100)</f>
        <v>31.774819999999998</v>
      </c>
      <c r="K86">
        <f>C86*(1+I86/100)</f>
        <v>35.13391</v>
      </c>
    </row>
    <row r="87" spans="1:11" x14ac:dyDescent="0.3">
      <c r="A87" t="s">
        <v>250</v>
      </c>
      <c r="B87" t="s">
        <v>251</v>
      </c>
      <c r="C87">
        <v>0.2419</v>
      </c>
      <c r="D87">
        <v>0.27</v>
      </c>
      <c r="E87">
        <v>0.62</v>
      </c>
      <c r="F87">
        <v>7.72</v>
      </c>
      <c r="G87">
        <f>ABS(D87)</f>
        <v>0.27</v>
      </c>
      <c r="H87">
        <f>-ABS(E87)</f>
        <v>-0.62</v>
      </c>
      <c r="I87">
        <f>ABS(F87)</f>
        <v>7.72</v>
      </c>
      <c r="J87">
        <f>C87*(1+H87/100)</f>
        <v>0.24040022</v>
      </c>
      <c r="K87">
        <f>C87*(1+I87/100)</f>
        <v>0.26057468</v>
      </c>
    </row>
    <row r="88" spans="1:11" x14ac:dyDescent="0.3">
      <c r="A88" t="s">
        <v>274</v>
      </c>
      <c r="B88" t="s">
        <v>275</v>
      </c>
      <c r="C88">
        <v>0.152</v>
      </c>
      <c r="D88">
        <v>0.27</v>
      </c>
      <c r="E88">
        <v>1.62</v>
      </c>
      <c r="F88">
        <v>9.66</v>
      </c>
      <c r="G88">
        <f>ABS(D88)</f>
        <v>0.27</v>
      </c>
      <c r="H88">
        <f>-ABS(E88)</f>
        <v>-1.62</v>
      </c>
      <c r="I88">
        <f>ABS(F88)</f>
        <v>9.66</v>
      </c>
      <c r="J88">
        <f>C88*(1+H88/100)</f>
        <v>0.14953759999999999</v>
      </c>
      <c r="K88">
        <f>C88*(1+I88/100)</f>
        <v>0.1666832</v>
      </c>
    </row>
    <row r="89" spans="1:11" x14ac:dyDescent="0.3">
      <c r="A89" t="s">
        <v>290</v>
      </c>
      <c r="B89" t="s">
        <v>291</v>
      </c>
      <c r="C89">
        <v>0.13789999999999999</v>
      </c>
      <c r="D89">
        <v>0.27</v>
      </c>
      <c r="E89">
        <v>2.96</v>
      </c>
      <c r="F89">
        <v>14.31</v>
      </c>
      <c r="G89">
        <f>ABS(D89)</f>
        <v>0.27</v>
      </c>
      <c r="H89">
        <f>-ABS(E89)</f>
        <v>-2.96</v>
      </c>
      <c r="I89">
        <f>ABS(F89)</f>
        <v>14.31</v>
      </c>
      <c r="J89">
        <f>C89*(1+H89/100)</f>
        <v>0.13381815999999999</v>
      </c>
      <c r="K89">
        <f>C89*(1+I89/100)</f>
        <v>0.15763348999999999</v>
      </c>
    </row>
    <row r="90" spans="1:11" x14ac:dyDescent="0.3">
      <c r="A90" t="s">
        <v>351</v>
      </c>
      <c r="B90" t="s">
        <v>352</v>
      </c>
      <c r="C90">
        <v>1.839E-2</v>
      </c>
      <c r="D90">
        <v>0.27</v>
      </c>
      <c r="E90">
        <v>2.34</v>
      </c>
      <c r="F90">
        <v>1.73</v>
      </c>
      <c r="G90">
        <f>ABS(D90)</f>
        <v>0.27</v>
      </c>
      <c r="H90">
        <f>-ABS(E90)</f>
        <v>-2.34</v>
      </c>
      <c r="I90">
        <f>ABS(F90)</f>
        <v>1.73</v>
      </c>
      <c r="J90">
        <f>C90*(1+H90/100)</f>
        <v>1.7959674000000002E-2</v>
      </c>
      <c r="K90">
        <f>C90*(1+I90/100)</f>
        <v>1.8708147000000001E-2</v>
      </c>
    </row>
    <row r="91" spans="1:11" x14ac:dyDescent="0.3">
      <c r="A91" t="s">
        <v>378</v>
      </c>
      <c r="B91" t="s">
        <v>379</v>
      </c>
      <c r="C91">
        <v>7.9399999999999998E-2</v>
      </c>
      <c r="D91">
        <v>0.26</v>
      </c>
      <c r="E91">
        <v>1.95</v>
      </c>
      <c r="F91">
        <v>5.01</v>
      </c>
      <c r="G91">
        <f>ABS(D91)</f>
        <v>0.26</v>
      </c>
      <c r="H91">
        <f>-ABS(E91)</f>
        <v>-1.95</v>
      </c>
      <c r="I91">
        <f>ABS(F91)</f>
        <v>5.01</v>
      </c>
      <c r="J91">
        <f>C91*(1+H91/100)</f>
        <v>7.7851699999999996E-2</v>
      </c>
      <c r="K91">
        <f>C91*(1+I91/100)</f>
        <v>8.3377939999999998E-2</v>
      </c>
    </row>
    <row r="92" spans="1:11" x14ac:dyDescent="0.3">
      <c r="A92" t="s">
        <v>171</v>
      </c>
      <c r="B92" t="s">
        <v>172</v>
      </c>
      <c r="C92">
        <v>0.40649999999999997</v>
      </c>
      <c r="D92">
        <v>0.25</v>
      </c>
      <c r="E92">
        <v>0.28000000000000003</v>
      </c>
      <c r="F92">
        <v>5.9</v>
      </c>
      <c r="G92">
        <f>ABS(D92)</f>
        <v>0.25</v>
      </c>
      <c r="H92">
        <f>-ABS(E92)</f>
        <v>-0.28000000000000003</v>
      </c>
      <c r="I92">
        <f>ABS(F92)</f>
        <v>5.9</v>
      </c>
      <c r="J92">
        <f>C92*(1+H92/100)</f>
        <v>0.40536179999999994</v>
      </c>
      <c r="K92">
        <f>C92*(1+I92/100)</f>
        <v>0.43048349999999996</v>
      </c>
    </row>
    <row r="93" spans="1:11" x14ac:dyDescent="0.3">
      <c r="A93" t="s">
        <v>215</v>
      </c>
      <c r="B93" t="s">
        <v>216</v>
      </c>
      <c r="C93">
        <v>6.2691999999999998E-2</v>
      </c>
      <c r="D93">
        <v>0.25</v>
      </c>
      <c r="E93">
        <v>1.01</v>
      </c>
      <c r="F93">
        <v>0.91</v>
      </c>
      <c r="G93">
        <f>ABS(D93)</f>
        <v>0.25</v>
      </c>
      <c r="H93">
        <f>-ABS(E93)</f>
        <v>-1.01</v>
      </c>
      <c r="I93">
        <f>ABS(F93)</f>
        <v>0.91</v>
      </c>
      <c r="J93">
        <f>C93*(1+H93/100)</f>
        <v>6.2058810799999996E-2</v>
      </c>
      <c r="K93">
        <f>C93*(1+I93/100)</f>
        <v>6.3262497200000004E-2</v>
      </c>
    </row>
    <row r="94" spans="1:11" x14ac:dyDescent="0.3">
      <c r="A94" t="s">
        <v>219</v>
      </c>
      <c r="B94" t="s">
        <v>220</v>
      </c>
      <c r="C94">
        <v>1.47</v>
      </c>
      <c r="D94">
        <v>0.25</v>
      </c>
      <c r="E94">
        <v>1.83</v>
      </c>
      <c r="F94">
        <v>2.48</v>
      </c>
      <c r="G94">
        <f>ABS(D94)</f>
        <v>0.25</v>
      </c>
      <c r="H94">
        <f>-ABS(E94)</f>
        <v>-1.83</v>
      </c>
      <c r="I94">
        <f>ABS(F94)</f>
        <v>2.48</v>
      </c>
      <c r="J94">
        <f>C94*(1+H94/100)</f>
        <v>1.4430989999999999</v>
      </c>
      <c r="K94">
        <f>C94*(1+I94/100)</f>
        <v>1.5064559999999998</v>
      </c>
    </row>
    <row r="95" spans="1:11" x14ac:dyDescent="0.3">
      <c r="A95" t="s">
        <v>233</v>
      </c>
      <c r="B95" t="s">
        <v>234</v>
      </c>
      <c r="C95">
        <v>2.166E-3</v>
      </c>
      <c r="D95">
        <v>0.25</v>
      </c>
      <c r="E95">
        <v>1.03</v>
      </c>
      <c r="F95">
        <v>0.42</v>
      </c>
      <c r="G95">
        <f>ABS(D95)</f>
        <v>0.25</v>
      </c>
      <c r="H95">
        <f>-ABS(E95)</f>
        <v>-1.03</v>
      </c>
      <c r="I95">
        <f>ABS(F95)</f>
        <v>0.42</v>
      </c>
      <c r="J95">
        <f>C95*(1+H95/100)</f>
        <v>2.1436901999999998E-3</v>
      </c>
      <c r="K95">
        <f>C95*(1+I95/100)</f>
        <v>2.1750972E-3</v>
      </c>
    </row>
    <row r="96" spans="1:11" x14ac:dyDescent="0.3">
      <c r="A96" t="s">
        <v>199</v>
      </c>
      <c r="B96" t="s">
        <v>200</v>
      </c>
      <c r="C96">
        <v>0.64190000000000003</v>
      </c>
      <c r="D96">
        <v>0.24</v>
      </c>
      <c r="E96">
        <v>2.82</v>
      </c>
      <c r="F96">
        <v>18.14</v>
      </c>
      <c r="G96">
        <f>ABS(D96)</f>
        <v>0.24</v>
      </c>
      <c r="H96">
        <f>-ABS(E96)</f>
        <v>-2.82</v>
      </c>
      <c r="I96">
        <f>ABS(F96)</f>
        <v>18.14</v>
      </c>
      <c r="J96">
        <f>C96*(1+H96/100)</f>
        <v>0.62379842000000008</v>
      </c>
      <c r="K96">
        <f>C96*(1+I96/100)</f>
        <v>0.75834066</v>
      </c>
    </row>
    <row r="97" spans="1:11" x14ac:dyDescent="0.3">
      <c r="A97" t="s">
        <v>272</v>
      </c>
      <c r="B97" t="s">
        <v>272</v>
      </c>
      <c r="C97">
        <v>3.6299999999999999E-2</v>
      </c>
      <c r="D97">
        <v>0.24</v>
      </c>
      <c r="E97">
        <v>3.3</v>
      </c>
      <c r="F97">
        <v>1.4</v>
      </c>
      <c r="G97">
        <f>ABS(D97)</f>
        <v>0.24</v>
      </c>
      <c r="H97">
        <f>-ABS(E97)</f>
        <v>-3.3</v>
      </c>
      <c r="I97">
        <f>ABS(F97)</f>
        <v>1.4</v>
      </c>
      <c r="J97">
        <f>C97*(1+H97/100)</f>
        <v>3.5102099999999997E-2</v>
      </c>
      <c r="K97">
        <f>C97*(1+I97/100)</f>
        <v>3.6808199999999999E-2</v>
      </c>
    </row>
    <row r="98" spans="1:11" x14ac:dyDescent="0.3">
      <c r="A98" t="s">
        <v>286</v>
      </c>
      <c r="B98" t="s">
        <v>287</v>
      </c>
      <c r="C98">
        <v>0.1431</v>
      </c>
      <c r="D98">
        <v>0.23</v>
      </c>
      <c r="E98">
        <v>4.09</v>
      </c>
      <c r="F98">
        <v>5.87</v>
      </c>
      <c r="G98">
        <f>ABS(D98)</f>
        <v>0.23</v>
      </c>
      <c r="H98">
        <f>-ABS(E98)</f>
        <v>-4.09</v>
      </c>
      <c r="I98">
        <f>ABS(F98)</f>
        <v>5.87</v>
      </c>
      <c r="J98">
        <f>C98*(1+H98/100)</f>
        <v>0.13724721000000001</v>
      </c>
      <c r="K98">
        <f>C98*(1+I98/100)</f>
        <v>0.15149997000000001</v>
      </c>
    </row>
    <row r="99" spans="1:11" x14ac:dyDescent="0.3">
      <c r="A99" t="s">
        <v>346</v>
      </c>
      <c r="B99" t="s">
        <v>347</v>
      </c>
      <c r="C99">
        <v>0.2697</v>
      </c>
      <c r="D99">
        <v>0.23</v>
      </c>
      <c r="E99">
        <v>0.11</v>
      </c>
      <c r="F99">
        <v>11.78</v>
      </c>
      <c r="G99">
        <f>ABS(D99)</f>
        <v>0.23</v>
      </c>
      <c r="H99">
        <f>-ABS(E99)</f>
        <v>-0.11</v>
      </c>
      <c r="I99">
        <f>ABS(F99)</f>
        <v>11.78</v>
      </c>
      <c r="J99">
        <f>C99*(1+H99/100)</f>
        <v>0.26940333</v>
      </c>
      <c r="K99">
        <f>C99*(1+I99/100)</f>
        <v>0.30147065999999995</v>
      </c>
    </row>
    <row r="100" spans="1:11" x14ac:dyDescent="0.3">
      <c r="A100" t="s">
        <v>85</v>
      </c>
      <c r="B100" t="s">
        <v>86</v>
      </c>
      <c r="C100">
        <v>0.30890000000000001</v>
      </c>
      <c r="D100">
        <v>0.22</v>
      </c>
      <c r="E100">
        <v>3.41</v>
      </c>
      <c r="F100">
        <v>6.97</v>
      </c>
      <c r="G100">
        <f>ABS(D100)</f>
        <v>0.22</v>
      </c>
      <c r="H100">
        <f>-ABS(E100)</f>
        <v>-3.41</v>
      </c>
      <c r="I100">
        <f>ABS(F100)</f>
        <v>6.97</v>
      </c>
      <c r="J100">
        <f>C100*(1+H100/100)</f>
        <v>0.29836651000000003</v>
      </c>
      <c r="K100">
        <f>C100*(1+I100/100)</f>
        <v>0.33043033000000005</v>
      </c>
    </row>
    <row r="101" spans="1:11" x14ac:dyDescent="0.3">
      <c r="A101" t="s">
        <v>235</v>
      </c>
      <c r="B101" t="s">
        <v>236</v>
      </c>
      <c r="C101">
        <v>0.1003</v>
      </c>
      <c r="D101">
        <v>0.22</v>
      </c>
      <c r="E101">
        <v>0.92</v>
      </c>
      <c r="F101">
        <v>4.1399999999999997</v>
      </c>
      <c r="G101">
        <f>ABS(D101)</f>
        <v>0.22</v>
      </c>
      <c r="H101">
        <f>-ABS(E101)</f>
        <v>-0.92</v>
      </c>
      <c r="I101">
        <f>ABS(F101)</f>
        <v>4.1399999999999997</v>
      </c>
      <c r="J101">
        <f>C101*(1+H101/100)</f>
        <v>9.9377240000000006E-2</v>
      </c>
      <c r="K101">
        <f>C101*(1+I101/100)</f>
        <v>0.10445242</v>
      </c>
    </row>
    <row r="102" spans="1:11" x14ac:dyDescent="0.3">
      <c r="A102" t="s">
        <v>247</v>
      </c>
      <c r="B102" t="s">
        <v>247</v>
      </c>
      <c r="C102">
        <v>2.1999999999999999E-5</v>
      </c>
      <c r="D102">
        <v>0.22</v>
      </c>
      <c r="E102">
        <v>1.24</v>
      </c>
      <c r="F102">
        <v>5.42</v>
      </c>
      <c r="G102">
        <f>ABS(D102)</f>
        <v>0.22</v>
      </c>
      <c r="H102">
        <f>-ABS(E102)</f>
        <v>-1.24</v>
      </c>
      <c r="I102">
        <f>ABS(F102)</f>
        <v>5.42</v>
      </c>
      <c r="J102">
        <f>C102*(1+H102/100)</f>
        <v>2.1727200000000001E-5</v>
      </c>
      <c r="K102">
        <f>C102*(1+I102/100)</f>
        <v>2.3192399999999998E-5</v>
      </c>
    </row>
    <row r="103" spans="1:11" x14ac:dyDescent="0.3">
      <c r="A103" t="s">
        <v>254</v>
      </c>
      <c r="B103" t="s">
        <v>255</v>
      </c>
      <c r="C103">
        <v>2.8930000000000001E-2</v>
      </c>
      <c r="D103">
        <v>0.22</v>
      </c>
      <c r="E103">
        <v>3.1</v>
      </c>
      <c r="F103">
        <v>6.57</v>
      </c>
      <c r="G103">
        <f>ABS(D103)</f>
        <v>0.22</v>
      </c>
      <c r="H103">
        <f>-ABS(E103)</f>
        <v>-3.1</v>
      </c>
      <c r="I103">
        <f>ABS(F103)</f>
        <v>6.57</v>
      </c>
      <c r="J103">
        <f>C103*(1+H103/100)</f>
        <v>2.803317E-2</v>
      </c>
      <c r="K103">
        <f>C103*(1+I103/100)</f>
        <v>3.0830701000000002E-2</v>
      </c>
    </row>
    <row r="104" spans="1:11" x14ac:dyDescent="0.3">
      <c r="A104" t="s">
        <v>67</v>
      </c>
      <c r="B104" t="s">
        <v>68</v>
      </c>
      <c r="C104">
        <v>5.4125E-2</v>
      </c>
      <c r="D104">
        <v>0.21</v>
      </c>
      <c r="E104">
        <v>2.25</v>
      </c>
      <c r="F104">
        <v>5.42</v>
      </c>
      <c r="G104">
        <f>ABS(D104)</f>
        <v>0.21</v>
      </c>
      <c r="H104">
        <f>-ABS(E104)</f>
        <v>-2.25</v>
      </c>
      <c r="I104">
        <f>ABS(F104)</f>
        <v>5.42</v>
      </c>
      <c r="J104">
        <f>C104*(1+H104/100)</f>
        <v>5.2907187500000001E-2</v>
      </c>
      <c r="K104">
        <f>C104*(1+I104/100)</f>
        <v>5.7058575E-2</v>
      </c>
    </row>
    <row r="105" spans="1:11" hidden="1" x14ac:dyDescent="0.3">
      <c r="A105" t="s">
        <v>205</v>
      </c>
      <c r="B105" t="s">
        <v>206</v>
      </c>
      <c r="C105">
        <v>110.64</v>
      </c>
      <c r="D105">
        <v>0.09</v>
      </c>
      <c r="E105">
        <v>1.44</v>
      </c>
      <c r="F105">
        <v>4.97</v>
      </c>
      <c r="G105">
        <f>ABS(D105)</f>
        <v>0.09</v>
      </c>
      <c r="H105">
        <f>-ABS(E105)</f>
        <v>-1.44</v>
      </c>
      <c r="I105">
        <f>ABS(F105)</f>
        <v>4.97</v>
      </c>
      <c r="J105">
        <f>C105*(1+H105/100)</f>
        <v>109.046784</v>
      </c>
      <c r="K105">
        <f>C105*(1+I105/100)</f>
        <v>116.13880800000001</v>
      </c>
    </row>
    <row r="106" spans="1:11" hidden="1" x14ac:dyDescent="0.3">
      <c r="A106" t="s">
        <v>207</v>
      </c>
      <c r="B106" t="s">
        <v>208</v>
      </c>
      <c r="C106">
        <v>13.98</v>
      </c>
      <c r="D106">
        <v>0.35</v>
      </c>
      <c r="E106">
        <v>0.09</v>
      </c>
      <c r="F106">
        <v>2.12</v>
      </c>
      <c r="G106">
        <f>ABS(D106)</f>
        <v>0.35</v>
      </c>
      <c r="H106">
        <f>-ABS(E106)</f>
        <v>-0.09</v>
      </c>
      <c r="I106">
        <f>ABS(F106)</f>
        <v>2.12</v>
      </c>
      <c r="J106">
        <f>C106*(1+H106/100)</f>
        <v>13.967418</v>
      </c>
      <c r="K106">
        <f>C106*(1+I106/100)</f>
        <v>14.276376000000003</v>
      </c>
    </row>
    <row r="107" spans="1:11" x14ac:dyDescent="0.3">
      <c r="A107" t="s">
        <v>91</v>
      </c>
      <c r="B107" t="s">
        <v>92</v>
      </c>
      <c r="C107">
        <v>0.8458</v>
      </c>
      <c r="D107">
        <v>0.21</v>
      </c>
      <c r="E107">
        <v>1.58</v>
      </c>
      <c r="F107">
        <v>1.78</v>
      </c>
      <c r="G107">
        <f>ABS(D107)</f>
        <v>0.21</v>
      </c>
      <c r="H107">
        <f>-ABS(E107)</f>
        <v>-1.58</v>
      </c>
      <c r="I107">
        <f>ABS(F107)</f>
        <v>1.78</v>
      </c>
      <c r="J107">
        <f>C107*(1+H107/100)</f>
        <v>0.83243635999999999</v>
      </c>
      <c r="K107">
        <f>C107*(1+I107/100)</f>
        <v>0.86085524000000002</v>
      </c>
    </row>
    <row r="108" spans="1:11" x14ac:dyDescent="0.3">
      <c r="A108" t="s">
        <v>306</v>
      </c>
      <c r="B108" t="s">
        <v>307</v>
      </c>
      <c r="C108">
        <v>1.93</v>
      </c>
      <c r="D108">
        <v>0.21</v>
      </c>
      <c r="E108">
        <v>0.17</v>
      </c>
      <c r="F108">
        <v>3.01</v>
      </c>
      <c r="G108">
        <f>ABS(D108)</f>
        <v>0.21</v>
      </c>
      <c r="H108">
        <f>-ABS(E108)</f>
        <v>-0.17</v>
      </c>
      <c r="I108">
        <f>ABS(F108)</f>
        <v>3.01</v>
      </c>
      <c r="J108">
        <f>C108*(1+H108/100)</f>
        <v>1.9267189999999998</v>
      </c>
      <c r="K108">
        <f>C108*(1+I108/100)</f>
        <v>1.9880929999999999</v>
      </c>
    </row>
    <row r="109" spans="1:11" x14ac:dyDescent="0.3">
      <c r="A109" t="s">
        <v>99</v>
      </c>
      <c r="B109" t="s">
        <v>100</v>
      </c>
      <c r="C109">
        <v>1.62</v>
      </c>
      <c r="D109">
        <v>0.2</v>
      </c>
      <c r="E109">
        <v>0.22</v>
      </c>
      <c r="F109">
        <v>0.91</v>
      </c>
      <c r="G109">
        <f>ABS(D109)</f>
        <v>0.2</v>
      </c>
      <c r="H109">
        <f>-ABS(E109)</f>
        <v>-0.22</v>
      </c>
      <c r="I109">
        <f>ABS(F109)</f>
        <v>0.91</v>
      </c>
      <c r="J109">
        <f>C109*(1+H109/100)</f>
        <v>1.6164360000000002</v>
      </c>
      <c r="K109">
        <f>C109*(1+I109/100)</f>
        <v>1.6347420000000004</v>
      </c>
    </row>
    <row r="110" spans="1:11" x14ac:dyDescent="0.3">
      <c r="A110" t="s">
        <v>140</v>
      </c>
      <c r="B110" t="s">
        <v>141</v>
      </c>
      <c r="C110">
        <v>0.75380000000000003</v>
      </c>
      <c r="D110">
        <v>0.19</v>
      </c>
      <c r="E110">
        <v>0.94</v>
      </c>
      <c r="F110">
        <v>3.62</v>
      </c>
      <c r="G110">
        <f>ABS(D110)</f>
        <v>0.19</v>
      </c>
      <c r="H110">
        <f>-ABS(E110)</f>
        <v>-0.94</v>
      </c>
      <c r="I110">
        <f>ABS(F110)</f>
        <v>3.62</v>
      </c>
      <c r="J110">
        <f>C110*(1+H110/100)</f>
        <v>0.74671428000000006</v>
      </c>
      <c r="K110">
        <f>C110*(1+I110/100)</f>
        <v>0.78108756000000001</v>
      </c>
    </row>
    <row r="111" spans="1:11" x14ac:dyDescent="0.3">
      <c r="A111" t="s">
        <v>368</v>
      </c>
      <c r="B111" t="s">
        <v>369</v>
      </c>
      <c r="C111">
        <v>0.1065</v>
      </c>
      <c r="D111">
        <v>0.19</v>
      </c>
      <c r="E111">
        <v>8.09</v>
      </c>
      <c r="F111">
        <v>7.92</v>
      </c>
      <c r="G111">
        <f>ABS(D111)</f>
        <v>0.19</v>
      </c>
      <c r="H111">
        <f>-ABS(E111)</f>
        <v>-8.09</v>
      </c>
      <c r="I111">
        <f>ABS(F111)</f>
        <v>7.92</v>
      </c>
      <c r="J111">
        <f>C111*(1+H111/100)</f>
        <v>9.7884150000000003E-2</v>
      </c>
      <c r="K111">
        <f>C111*(1+I111/100)</f>
        <v>0.11493479999999999</v>
      </c>
    </row>
    <row r="112" spans="1:11" x14ac:dyDescent="0.3">
      <c r="A112" t="s">
        <v>169</v>
      </c>
      <c r="B112" t="s">
        <v>170</v>
      </c>
      <c r="C112">
        <v>4.7520000000000001E-3</v>
      </c>
      <c r="D112">
        <v>0.18</v>
      </c>
      <c r="E112">
        <v>1.46</v>
      </c>
      <c r="F112">
        <v>2.34</v>
      </c>
      <c r="G112">
        <f>ABS(D112)</f>
        <v>0.18</v>
      </c>
      <c r="H112">
        <f>-ABS(E112)</f>
        <v>-1.46</v>
      </c>
      <c r="I112">
        <f>ABS(F112)</f>
        <v>2.34</v>
      </c>
      <c r="J112">
        <f>C112*(1+H112/100)</f>
        <v>4.6826208000000005E-3</v>
      </c>
      <c r="K112">
        <f>C112*(1+I112/100)</f>
        <v>4.8631968000000005E-3</v>
      </c>
    </row>
    <row r="113" spans="1:11" x14ac:dyDescent="0.3">
      <c r="A113" t="s">
        <v>266</v>
      </c>
      <c r="B113" t="s">
        <v>267</v>
      </c>
      <c r="C113">
        <v>4.09</v>
      </c>
      <c r="D113">
        <v>0.18</v>
      </c>
      <c r="E113">
        <v>0.04</v>
      </c>
      <c r="F113">
        <v>2.83</v>
      </c>
      <c r="G113">
        <f>ABS(D113)</f>
        <v>0.18</v>
      </c>
      <c r="H113">
        <f>-ABS(E113)</f>
        <v>-0.04</v>
      </c>
      <c r="I113">
        <f>ABS(F113)</f>
        <v>2.83</v>
      </c>
      <c r="J113">
        <f>C113*(1+H113/100)</f>
        <v>4.0883640000000003</v>
      </c>
      <c r="K113">
        <f>C113*(1+I113/100)</f>
        <v>4.2057469999999997</v>
      </c>
    </row>
    <row r="114" spans="1:11" x14ac:dyDescent="0.3">
      <c r="A114" t="s">
        <v>296</v>
      </c>
      <c r="B114" t="s">
        <v>297</v>
      </c>
      <c r="C114">
        <v>1.93</v>
      </c>
      <c r="D114">
        <v>0.18</v>
      </c>
      <c r="E114">
        <v>0.28999999999999998</v>
      </c>
      <c r="F114">
        <v>1.52</v>
      </c>
      <c r="G114">
        <f>ABS(D114)</f>
        <v>0.18</v>
      </c>
      <c r="H114">
        <f>-ABS(E114)</f>
        <v>-0.28999999999999998</v>
      </c>
      <c r="I114">
        <f>ABS(F114)</f>
        <v>1.52</v>
      </c>
      <c r="J114">
        <f>C114*(1+H114/100)</f>
        <v>1.9244029999999999</v>
      </c>
      <c r="K114">
        <f>C114*(1+I114/100)</f>
        <v>1.9593360000000002</v>
      </c>
    </row>
    <row r="115" spans="1:11" hidden="1" x14ac:dyDescent="0.3">
      <c r="A115" t="s">
        <v>225</v>
      </c>
      <c r="B115" t="s">
        <v>226</v>
      </c>
      <c r="C115">
        <v>13.24</v>
      </c>
      <c r="D115">
        <v>8.18</v>
      </c>
      <c r="E115">
        <v>17.84</v>
      </c>
      <c r="F115">
        <v>19.5</v>
      </c>
      <c r="G115">
        <f>ABS(D115)</f>
        <v>8.18</v>
      </c>
      <c r="H115">
        <f>-ABS(E115)</f>
        <v>-17.84</v>
      </c>
      <c r="I115">
        <f>ABS(F115)</f>
        <v>19.5</v>
      </c>
      <c r="J115">
        <f>C115*(1+H115/100)</f>
        <v>10.877984</v>
      </c>
      <c r="K115">
        <f>C115*(1+I115/100)</f>
        <v>15.821800000000001</v>
      </c>
    </row>
    <row r="116" spans="1:11" x14ac:dyDescent="0.3">
      <c r="A116" t="s">
        <v>298</v>
      </c>
      <c r="B116" t="s">
        <v>299</v>
      </c>
      <c r="C116">
        <v>0.40360000000000001</v>
      </c>
      <c r="D116">
        <v>0.18</v>
      </c>
      <c r="E116">
        <v>0.43</v>
      </c>
      <c r="F116">
        <v>1.06</v>
      </c>
      <c r="G116">
        <f>ABS(D116)</f>
        <v>0.18</v>
      </c>
      <c r="H116">
        <f>-ABS(E116)</f>
        <v>-0.43</v>
      </c>
      <c r="I116">
        <f>ABS(F116)</f>
        <v>1.06</v>
      </c>
      <c r="J116">
        <f>C116*(1+H116/100)</f>
        <v>0.40186452</v>
      </c>
      <c r="K116">
        <f>C116*(1+I116/100)</f>
        <v>0.40787815999999999</v>
      </c>
    </row>
    <row r="117" spans="1:11" x14ac:dyDescent="0.3">
      <c r="A117" t="s">
        <v>309</v>
      </c>
      <c r="B117" t="s">
        <v>309</v>
      </c>
      <c r="C117">
        <v>0.24740000000000001</v>
      </c>
      <c r="D117">
        <v>0.18</v>
      </c>
      <c r="E117">
        <v>0.48</v>
      </c>
      <c r="F117">
        <v>7.23</v>
      </c>
      <c r="G117">
        <f>ABS(D117)</f>
        <v>0.18</v>
      </c>
      <c r="H117">
        <f>-ABS(E117)</f>
        <v>-0.48</v>
      </c>
      <c r="I117">
        <f>ABS(F117)</f>
        <v>7.23</v>
      </c>
      <c r="J117">
        <f>C117*(1+H117/100)</f>
        <v>0.24621248000000001</v>
      </c>
      <c r="K117">
        <f>C117*(1+I117/100)</f>
        <v>0.26528702000000004</v>
      </c>
    </row>
    <row r="118" spans="1:11" x14ac:dyDescent="0.3">
      <c r="A118" t="s">
        <v>380</v>
      </c>
      <c r="B118" t="s">
        <v>381</v>
      </c>
      <c r="C118">
        <v>1.542E-3</v>
      </c>
      <c r="D118">
        <v>0.18</v>
      </c>
      <c r="E118">
        <v>1.35</v>
      </c>
      <c r="F118">
        <v>2.14</v>
      </c>
      <c r="G118">
        <f>ABS(D118)</f>
        <v>0.18</v>
      </c>
      <c r="H118">
        <f>-ABS(E118)</f>
        <v>-1.35</v>
      </c>
      <c r="I118">
        <f>ABS(F118)</f>
        <v>2.14</v>
      </c>
      <c r="J118">
        <f>C118*(1+H118/100)</f>
        <v>1.521183E-3</v>
      </c>
      <c r="K118">
        <f>C118*(1+I118/100)</f>
        <v>1.5749988E-3</v>
      </c>
    </row>
    <row r="119" spans="1:11" x14ac:dyDescent="0.3">
      <c r="A119" t="s">
        <v>152</v>
      </c>
      <c r="B119" t="s">
        <v>153</v>
      </c>
      <c r="C119">
        <v>0.60229999999999995</v>
      </c>
      <c r="D119">
        <v>0.17</v>
      </c>
      <c r="E119">
        <v>0.38</v>
      </c>
      <c r="F119">
        <v>6.22</v>
      </c>
      <c r="G119">
        <f>ABS(D119)</f>
        <v>0.17</v>
      </c>
      <c r="H119">
        <f>-ABS(E119)</f>
        <v>-0.38</v>
      </c>
      <c r="I119">
        <f>ABS(F119)</f>
        <v>6.22</v>
      </c>
      <c r="J119">
        <f>C119*(1+H119/100)</f>
        <v>0.60001125999999994</v>
      </c>
      <c r="K119">
        <f>C119*(1+I119/100)</f>
        <v>0.63976305999999994</v>
      </c>
    </row>
    <row r="120" spans="1:11" x14ac:dyDescent="0.3">
      <c r="A120" t="s">
        <v>284</v>
      </c>
      <c r="B120" t="s">
        <v>285</v>
      </c>
      <c r="C120">
        <v>0.1431</v>
      </c>
      <c r="D120">
        <v>0.17</v>
      </c>
      <c r="E120">
        <v>0.02</v>
      </c>
      <c r="F120">
        <v>0.56000000000000005</v>
      </c>
      <c r="G120">
        <f>ABS(D120)</f>
        <v>0.17</v>
      </c>
      <c r="H120">
        <f>-ABS(E120)</f>
        <v>-0.02</v>
      </c>
      <c r="I120">
        <f>ABS(F120)</f>
        <v>0.56000000000000005</v>
      </c>
      <c r="J120">
        <f>C120*(1+H120/100)</f>
        <v>0.14307138</v>
      </c>
      <c r="K120">
        <f>C120*(1+I120/100)</f>
        <v>0.14390136000000001</v>
      </c>
    </row>
    <row r="121" spans="1:11" x14ac:dyDescent="0.3">
      <c r="A121" t="s">
        <v>93</v>
      </c>
      <c r="B121" t="s">
        <v>94</v>
      </c>
      <c r="C121">
        <v>5.9619999999999999E-2</v>
      </c>
      <c r="D121">
        <v>0.16</v>
      </c>
      <c r="E121">
        <v>0.7</v>
      </c>
      <c r="F121">
        <v>6.73</v>
      </c>
      <c r="G121">
        <f>ABS(D121)</f>
        <v>0.16</v>
      </c>
      <c r="H121">
        <f>-ABS(E121)</f>
        <v>-0.7</v>
      </c>
      <c r="I121">
        <f>ABS(F121)</f>
        <v>6.73</v>
      </c>
      <c r="J121">
        <f>C121*(1+H121/100)</f>
        <v>5.9202659999999997E-2</v>
      </c>
      <c r="K121">
        <f>C121*(1+I121/100)</f>
        <v>6.3632425999999992E-2</v>
      </c>
    </row>
    <row r="122" spans="1:11" x14ac:dyDescent="0.3">
      <c r="A122" t="s">
        <v>203</v>
      </c>
      <c r="B122" t="s">
        <v>204</v>
      </c>
      <c r="C122">
        <v>0.1643</v>
      </c>
      <c r="D122">
        <v>0.16</v>
      </c>
      <c r="E122">
        <v>1.1200000000000001</v>
      </c>
      <c r="F122">
        <v>1.34</v>
      </c>
      <c r="G122">
        <f>ABS(D122)</f>
        <v>0.16</v>
      </c>
      <c r="H122">
        <f>-ABS(E122)</f>
        <v>-1.1200000000000001</v>
      </c>
      <c r="I122">
        <f>ABS(F122)</f>
        <v>1.34</v>
      </c>
      <c r="J122">
        <f>C122*(1+H122/100)</f>
        <v>0.16245983999999999</v>
      </c>
      <c r="K122">
        <f>C122*(1+I122/100)</f>
        <v>0.16650162000000002</v>
      </c>
    </row>
    <row r="123" spans="1:11" x14ac:dyDescent="0.3">
      <c r="A123" t="s">
        <v>328</v>
      </c>
      <c r="B123" t="s">
        <v>329</v>
      </c>
      <c r="C123">
        <v>0.12230000000000001</v>
      </c>
      <c r="D123">
        <v>0.16</v>
      </c>
      <c r="E123">
        <v>3.77</v>
      </c>
      <c r="F123">
        <v>6.05</v>
      </c>
      <c r="G123">
        <f>ABS(D123)</f>
        <v>0.16</v>
      </c>
      <c r="H123">
        <f>-ABS(E123)</f>
        <v>-3.77</v>
      </c>
      <c r="I123">
        <f>ABS(F123)</f>
        <v>6.05</v>
      </c>
      <c r="J123">
        <f>C123*(1+H123/100)</f>
        <v>0.11768929000000002</v>
      </c>
      <c r="K123">
        <f>C123*(1+I123/100)</f>
        <v>0.12969915000000001</v>
      </c>
    </row>
    <row r="124" spans="1:11" x14ac:dyDescent="0.3">
      <c r="A124" t="s">
        <v>35</v>
      </c>
      <c r="B124" t="s">
        <v>36</v>
      </c>
      <c r="C124">
        <v>0.1305</v>
      </c>
      <c r="D124">
        <v>0.15</v>
      </c>
      <c r="E124">
        <v>1.74</v>
      </c>
      <c r="F124">
        <v>2.58</v>
      </c>
      <c r="G124">
        <f>ABS(D124)</f>
        <v>0.15</v>
      </c>
      <c r="H124">
        <f>-ABS(E124)</f>
        <v>-1.74</v>
      </c>
      <c r="I124">
        <f>ABS(F124)</f>
        <v>2.58</v>
      </c>
      <c r="J124">
        <f>C124*(1+H124/100)</f>
        <v>0.12822930000000002</v>
      </c>
      <c r="K124">
        <f>C124*(1+I124/100)</f>
        <v>0.13386690000000001</v>
      </c>
    </row>
    <row r="125" spans="1:11" x14ac:dyDescent="0.3">
      <c r="A125" t="s">
        <v>82</v>
      </c>
      <c r="B125" t="s">
        <v>82</v>
      </c>
      <c r="C125">
        <v>0.99939999999999996</v>
      </c>
      <c r="D125">
        <v>0.15</v>
      </c>
      <c r="E125">
        <v>0.05</v>
      </c>
      <c r="F125">
        <v>0.12</v>
      </c>
      <c r="G125">
        <f>ABS(D125)</f>
        <v>0.15</v>
      </c>
      <c r="H125">
        <f>-ABS(E125)</f>
        <v>-0.05</v>
      </c>
      <c r="I125">
        <f>ABS(F125)</f>
        <v>0.12</v>
      </c>
      <c r="J125">
        <f>C125*(1+H125/100)</f>
        <v>0.99890029999999996</v>
      </c>
      <c r="K125">
        <f>C125*(1+I125/100)</f>
        <v>1.0005992800000001</v>
      </c>
    </row>
    <row r="126" spans="1:11" x14ac:dyDescent="0.3">
      <c r="A126" t="s">
        <v>119</v>
      </c>
      <c r="B126" t="s">
        <v>120</v>
      </c>
      <c r="C126">
        <v>1.52</v>
      </c>
      <c r="D126">
        <v>0.15</v>
      </c>
      <c r="E126">
        <v>1.63</v>
      </c>
      <c r="F126">
        <v>3.97</v>
      </c>
      <c r="G126">
        <f>ABS(D126)</f>
        <v>0.15</v>
      </c>
      <c r="H126">
        <f>-ABS(E126)</f>
        <v>-1.63</v>
      </c>
      <c r="I126">
        <f>ABS(F126)</f>
        <v>3.97</v>
      </c>
      <c r="J126">
        <f>C126*(1+H126/100)</f>
        <v>1.4952240000000001</v>
      </c>
      <c r="K126">
        <f>C126*(1+I126/100)</f>
        <v>1.5803440000000002</v>
      </c>
    </row>
    <row r="127" spans="1:11" x14ac:dyDescent="0.3">
      <c r="A127" t="s">
        <v>148</v>
      </c>
      <c r="B127" t="s">
        <v>149</v>
      </c>
      <c r="C127">
        <v>6.4989999999999996E-3</v>
      </c>
      <c r="D127">
        <v>0.15</v>
      </c>
      <c r="E127">
        <v>0.51</v>
      </c>
      <c r="F127">
        <v>3.75</v>
      </c>
      <c r="G127">
        <f>ABS(D127)</f>
        <v>0.15</v>
      </c>
      <c r="H127">
        <f>-ABS(E127)</f>
        <v>-0.51</v>
      </c>
      <c r="I127">
        <f>ABS(F127)</f>
        <v>3.75</v>
      </c>
      <c r="J127">
        <f>C127*(1+H127/100)</f>
        <v>6.4658551E-3</v>
      </c>
      <c r="K127">
        <f>C127*(1+I127/100)</f>
        <v>6.7427125000000003E-3</v>
      </c>
    </row>
    <row r="128" spans="1:11" x14ac:dyDescent="0.3">
      <c r="A128" t="s">
        <v>258</v>
      </c>
      <c r="B128" t="s">
        <v>259</v>
      </c>
      <c r="C128">
        <v>0.65969999999999995</v>
      </c>
      <c r="D128">
        <v>0.15</v>
      </c>
      <c r="E128">
        <v>2.42</v>
      </c>
      <c r="F128">
        <v>10.43</v>
      </c>
      <c r="G128">
        <f>ABS(D128)</f>
        <v>0.15</v>
      </c>
      <c r="H128">
        <f>-ABS(E128)</f>
        <v>-2.42</v>
      </c>
      <c r="I128">
        <f>ABS(F128)</f>
        <v>10.43</v>
      </c>
      <c r="J128">
        <f>C128*(1+H128/100)</f>
        <v>0.64373525999999992</v>
      </c>
      <c r="K128">
        <f>C128*(1+I128/100)</f>
        <v>0.72850671</v>
      </c>
    </row>
    <row r="129" spans="1:11" x14ac:dyDescent="0.3">
      <c r="A129" t="s">
        <v>268</v>
      </c>
      <c r="B129" t="s">
        <v>269</v>
      </c>
      <c r="C129">
        <v>0.56289999999999996</v>
      </c>
      <c r="D129">
        <v>0.15</v>
      </c>
      <c r="E129">
        <v>4.66</v>
      </c>
      <c r="F129">
        <v>9.2200000000000006</v>
      </c>
      <c r="G129">
        <f>ABS(D129)</f>
        <v>0.15</v>
      </c>
      <c r="H129">
        <f>-ABS(E129)</f>
        <v>-4.66</v>
      </c>
      <c r="I129">
        <f>ABS(F129)</f>
        <v>9.2200000000000006</v>
      </c>
      <c r="J129">
        <f>C129*(1+H129/100)</f>
        <v>0.53666886000000003</v>
      </c>
      <c r="K129">
        <f>C129*(1+I129/100)</f>
        <v>0.61479938000000001</v>
      </c>
    </row>
    <row r="130" spans="1:11" x14ac:dyDescent="0.3">
      <c r="A130" t="s">
        <v>282</v>
      </c>
      <c r="B130" t="s">
        <v>283</v>
      </c>
      <c r="C130">
        <v>0.3427</v>
      </c>
      <c r="D130">
        <v>0.14000000000000001</v>
      </c>
      <c r="E130">
        <v>3.31</v>
      </c>
      <c r="F130">
        <v>0.12</v>
      </c>
      <c r="G130">
        <f>ABS(D130)</f>
        <v>0.14000000000000001</v>
      </c>
      <c r="H130">
        <f>-ABS(E130)</f>
        <v>-3.31</v>
      </c>
      <c r="I130">
        <f>ABS(F130)</f>
        <v>0.12</v>
      </c>
      <c r="J130">
        <f>C130*(1+H130/100)</f>
        <v>0.33135662999999999</v>
      </c>
      <c r="K130">
        <f>C130*(1+I130/100)</f>
        <v>0.34311124000000004</v>
      </c>
    </row>
    <row r="131" spans="1:11" x14ac:dyDescent="0.3">
      <c r="A131" t="s">
        <v>376</v>
      </c>
      <c r="B131" t="s">
        <v>377</v>
      </c>
      <c r="C131">
        <v>0.1376</v>
      </c>
      <c r="D131">
        <v>0.14000000000000001</v>
      </c>
      <c r="E131">
        <v>0.03</v>
      </c>
      <c r="F131">
        <v>3.85</v>
      </c>
      <c r="G131">
        <f>ABS(D131)</f>
        <v>0.14000000000000001</v>
      </c>
      <c r="H131">
        <f>-ABS(E131)</f>
        <v>-0.03</v>
      </c>
      <c r="I131">
        <f>ABS(F131)</f>
        <v>3.85</v>
      </c>
      <c r="J131">
        <f>C131*(1+H131/100)</f>
        <v>0.13755872</v>
      </c>
      <c r="K131">
        <f>C131*(1+I131/100)</f>
        <v>0.14289759999999999</v>
      </c>
    </row>
    <row r="132" spans="1:11" x14ac:dyDescent="0.3">
      <c r="A132" t="s">
        <v>14</v>
      </c>
      <c r="B132" t="s">
        <v>14</v>
      </c>
      <c r="C132">
        <v>1.06</v>
      </c>
      <c r="D132">
        <v>0.13</v>
      </c>
      <c r="E132">
        <v>1.01</v>
      </c>
      <c r="F132">
        <v>5.1100000000000003</v>
      </c>
      <c r="G132">
        <f>ABS(D132)</f>
        <v>0.13</v>
      </c>
      <c r="H132">
        <f>-ABS(E132)</f>
        <v>-1.01</v>
      </c>
      <c r="I132">
        <f>ABS(F132)</f>
        <v>5.1100000000000003</v>
      </c>
      <c r="J132">
        <f>C132*(1+H132/100)</f>
        <v>1.0492939999999999</v>
      </c>
      <c r="K132">
        <f>C132*(1+I132/100)</f>
        <v>1.114166</v>
      </c>
    </row>
    <row r="133" spans="1:11" x14ac:dyDescent="0.3">
      <c r="A133" t="s">
        <v>55</v>
      </c>
      <c r="B133" t="s">
        <v>56</v>
      </c>
      <c r="C133">
        <v>6.5890000000000004E-2</v>
      </c>
      <c r="D133">
        <v>0.13</v>
      </c>
      <c r="E133">
        <v>2.35</v>
      </c>
      <c r="F133">
        <v>7.6</v>
      </c>
      <c r="G133">
        <f>ABS(D133)</f>
        <v>0.13</v>
      </c>
      <c r="H133">
        <f>-ABS(E133)</f>
        <v>-2.35</v>
      </c>
      <c r="I133">
        <f>ABS(F133)</f>
        <v>7.6</v>
      </c>
      <c r="J133">
        <f>C133*(1+H133/100)</f>
        <v>6.4341585000000007E-2</v>
      </c>
      <c r="K133">
        <f>C133*(1+I133/100)</f>
        <v>7.0897640000000012E-2</v>
      </c>
    </row>
    <row r="134" spans="1:11" x14ac:dyDescent="0.3">
      <c r="A134" t="s">
        <v>179</v>
      </c>
      <c r="B134" t="s">
        <v>180</v>
      </c>
      <c r="C134">
        <v>5.7670000000000004E-3</v>
      </c>
      <c r="D134">
        <v>0.13</v>
      </c>
      <c r="E134">
        <v>3.24</v>
      </c>
      <c r="F134">
        <v>12.89</v>
      </c>
      <c r="G134">
        <f>ABS(D134)</f>
        <v>0.13</v>
      </c>
      <c r="H134">
        <f>-ABS(E134)</f>
        <v>-3.24</v>
      </c>
      <c r="I134">
        <f>ABS(F134)</f>
        <v>12.89</v>
      </c>
      <c r="J134">
        <f>C134*(1+H134/100)</f>
        <v>5.5801492000000005E-3</v>
      </c>
      <c r="K134">
        <f>C134*(1+I134/100)</f>
        <v>6.5103663000000006E-3</v>
      </c>
    </row>
    <row r="135" spans="1:11" x14ac:dyDescent="0.3">
      <c r="A135" t="s">
        <v>256</v>
      </c>
      <c r="B135" t="s">
        <v>257</v>
      </c>
      <c r="C135">
        <v>1.7389999999999999E-2</v>
      </c>
      <c r="D135">
        <v>0.13</v>
      </c>
      <c r="E135">
        <v>0.73</v>
      </c>
      <c r="F135">
        <v>4.05</v>
      </c>
      <c r="G135">
        <f>ABS(D135)</f>
        <v>0.13</v>
      </c>
      <c r="H135">
        <f>-ABS(E135)</f>
        <v>-0.73</v>
      </c>
      <c r="I135">
        <f>ABS(F135)</f>
        <v>4.05</v>
      </c>
      <c r="J135">
        <f>C135*(1+H135/100)</f>
        <v>1.7263053E-2</v>
      </c>
      <c r="K135">
        <f>C135*(1+I135/100)</f>
        <v>1.8094295E-2</v>
      </c>
    </row>
    <row r="136" spans="1:11" x14ac:dyDescent="0.3">
      <c r="A136" t="s">
        <v>318</v>
      </c>
      <c r="B136" t="s">
        <v>319</v>
      </c>
      <c r="C136">
        <v>0.28249999999999997</v>
      </c>
      <c r="D136">
        <v>0.13</v>
      </c>
      <c r="E136">
        <v>0.17</v>
      </c>
      <c r="F136">
        <v>0.83</v>
      </c>
      <c r="G136">
        <f>ABS(D136)</f>
        <v>0.13</v>
      </c>
      <c r="H136">
        <f>-ABS(E136)</f>
        <v>-0.17</v>
      </c>
      <c r="I136">
        <f>ABS(F136)</f>
        <v>0.83</v>
      </c>
      <c r="J136">
        <f>C136*(1+H136/100)</f>
        <v>0.28201974999999996</v>
      </c>
      <c r="K136">
        <f>C136*(1+I136/100)</f>
        <v>0.28484474999999998</v>
      </c>
    </row>
    <row r="137" spans="1:11" x14ac:dyDescent="0.3">
      <c r="A137" t="s">
        <v>334</v>
      </c>
      <c r="B137" t="s">
        <v>335</v>
      </c>
      <c r="C137">
        <v>0.1008</v>
      </c>
      <c r="D137">
        <v>0.13</v>
      </c>
      <c r="E137">
        <v>0.82</v>
      </c>
      <c r="F137">
        <v>1.08</v>
      </c>
      <c r="G137">
        <f>ABS(D137)</f>
        <v>0.13</v>
      </c>
      <c r="H137">
        <f>-ABS(E137)</f>
        <v>-0.82</v>
      </c>
      <c r="I137">
        <f>ABS(F137)</f>
        <v>1.08</v>
      </c>
      <c r="J137">
        <f>C137*(1+H137/100)</f>
        <v>9.9973439999999997E-2</v>
      </c>
      <c r="K137">
        <f>C137*(1+I137/100)</f>
        <v>0.10188863999999999</v>
      </c>
    </row>
    <row r="138" spans="1:11" hidden="1" x14ac:dyDescent="0.3">
      <c r="A138" t="s">
        <v>270</v>
      </c>
      <c r="B138" t="s">
        <v>271</v>
      </c>
      <c r="C138">
        <v>16.52</v>
      </c>
      <c r="D138">
        <v>0.25</v>
      </c>
      <c r="E138">
        <v>1.78</v>
      </c>
      <c r="F138">
        <v>5.18</v>
      </c>
      <c r="G138">
        <f>ABS(D138)</f>
        <v>0.25</v>
      </c>
      <c r="H138">
        <f>-ABS(E138)</f>
        <v>-1.78</v>
      </c>
      <c r="I138">
        <f>ABS(F138)</f>
        <v>5.18</v>
      </c>
      <c r="J138">
        <f>C138*(1+H138/100)</f>
        <v>16.225943999999998</v>
      </c>
      <c r="K138">
        <f>C138*(1+I138/100)</f>
        <v>17.375736</v>
      </c>
    </row>
    <row r="139" spans="1:11" x14ac:dyDescent="0.3">
      <c r="A139" t="s">
        <v>384</v>
      </c>
      <c r="B139" t="s">
        <v>385</v>
      </c>
      <c r="C139">
        <v>1.222E-3</v>
      </c>
      <c r="D139">
        <v>0.13</v>
      </c>
      <c r="E139">
        <v>0.14000000000000001</v>
      </c>
      <c r="F139">
        <v>1.65</v>
      </c>
      <c r="G139">
        <f>ABS(D139)</f>
        <v>0.13</v>
      </c>
      <c r="H139">
        <f>-ABS(E139)</f>
        <v>-0.14000000000000001</v>
      </c>
      <c r="I139">
        <f>ABS(F139)</f>
        <v>1.65</v>
      </c>
      <c r="J139">
        <f>C139*(1+H139/100)</f>
        <v>1.2202892000000001E-3</v>
      </c>
      <c r="K139">
        <f>C139*(1+I139/100)</f>
        <v>1.2421629999999999E-3</v>
      </c>
    </row>
    <row r="140" spans="1:11" x14ac:dyDescent="0.3">
      <c r="A140" t="s">
        <v>101</v>
      </c>
      <c r="B140" t="s">
        <v>102</v>
      </c>
      <c r="C140">
        <v>5.2733000000000002E-2</v>
      </c>
      <c r="D140">
        <v>0.12</v>
      </c>
      <c r="E140">
        <v>0.31</v>
      </c>
      <c r="F140">
        <v>1.6</v>
      </c>
      <c r="G140">
        <f>ABS(D140)</f>
        <v>0.12</v>
      </c>
      <c r="H140">
        <f>-ABS(E140)</f>
        <v>-0.31</v>
      </c>
      <c r="I140">
        <f>ABS(F140)</f>
        <v>1.6</v>
      </c>
      <c r="J140">
        <f>C140*(1+H140/100)</f>
        <v>5.25695277E-2</v>
      </c>
      <c r="K140">
        <f>C140*(1+I140/100)</f>
        <v>5.3576728000000004E-2</v>
      </c>
    </row>
    <row r="141" spans="1:11" x14ac:dyDescent="0.3">
      <c r="A141" t="s">
        <v>322</v>
      </c>
      <c r="B141" t="s">
        <v>323</v>
      </c>
      <c r="C141">
        <v>0.3271</v>
      </c>
      <c r="D141">
        <v>0.12</v>
      </c>
      <c r="E141">
        <v>1.78</v>
      </c>
      <c r="F141">
        <v>13.82</v>
      </c>
      <c r="G141">
        <f>ABS(D141)</f>
        <v>0.12</v>
      </c>
      <c r="H141">
        <f>-ABS(E141)</f>
        <v>-1.78</v>
      </c>
      <c r="I141">
        <f>ABS(F141)</f>
        <v>13.82</v>
      </c>
      <c r="J141">
        <f>C141*(1+H141/100)</f>
        <v>0.32127761999999999</v>
      </c>
      <c r="K141">
        <f>C141*(1+I141/100)</f>
        <v>0.37230521999999994</v>
      </c>
    </row>
    <row r="142" spans="1:11" x14ac:dyDescent="0.3">
      <c r="A142" t="s">
        <v>195</v>
      </c>
      <c r="B142" t="s">
        <v>196</v>
      </c>
      <c r="C142">
        <v>0.34510000000000002</v>
      </c>
      <c r="D142">
        <v>0.11</v>
      </c>
      <c r="E142">
        <v>7.35</v>
      </c>
      <c r="F142">
        <v>9.9700000000000006</v>
      </c>
      <c r="G142">
        <f>ABS(D142)</f>
        <v>0.11</v>
      </c>
      <c r="H142">
        <f>-ABS(E142)</f>
        <v>-7.35</v>
      </c>
      <c r="I142">
        <f>ABS(F142)</f>
        <v>9.9700000000000006</v>
      </c>
      <c r="J142">
        <f>C142*(1+H142/100)</f>
        <v>0.31973515000000002</v>
      </c>
      <c r="K142">
        <f>C142*(1+I142/100)</f>
        <v>0.37950646999999998</v>
      </c>
    </row>
    <row r="143" spans="1:11" x14ac:dyDescent="0.3">
      <c r="A143" t="s">
        <v>292</v>
      </c>
      <c r="B143" t="s">
        <v>293</v>
      </c>
      <c r="C143">
        <v>4.7030000000000002E-2</v>
      </c>
      <c r="D143">
        <v>0.11</v>
      </c>
      <c r="E143">
        <v>1.94</v>
      </c>
      <c r="F143">
        <v>4.76</v>
      </c>
      <c r="G143">
        <f>ABS(D143)</f>
        <v>0.11</v>
      </c>
      <c r="H143">
        <f>-ABS(E143)</f>
        <v>-1.94</v>
      </c>
      <c r="I143">
        <f>ABS(F143)</f>
        <v>4.76</v>
      </c>
      <c r="J143">
        <f>C143*(1+H143/100)</f>
        <v>4.6117618000000006E-2</v>
      </c>
      <c r="K143">
        <f>C143*(1+I143/100)</f>
        <v>4.9268628000000009E-2</v>
      </c>
    </row>
    <row r="144" spans="1:11" x14ac:dyDescent="0.3">
      <c r="A144" t="s">
        <v>388</v>
      </c>
      <c r="B144" t="s">
        <v>389</v>
      </c>
      <c r="C144">
        <v>0.37930000000000003</v>
      </c>
      <c r="D144">
        <v>0.11</v>
      </c>
      <c r="E144">
        <v>1.2</v>
      </c>
      <c r="F144">
        <v>10.63</v>
      </c>
      <c r="G144">
        <f>ABS(D144)</f>
        <v>0.11</v>
      </c>
      <c r="H144">
        <f>-ABS(E144)</f>
        <v>-1.2</v>
      </c>
      <c r="I144">
        <f>ABS(F144)</f>
        <v>10.63</v>
      </c>
      <c r="J144">
        <f>C144*(1+H144/100)</f>
        <v>0.37474840000000004</v>
      </c>
      <c r="K144">
        <f>C144*(1+I144/100)</f>
        <v>0.41961959000000004</v>
      </c>
    </row>
    <row r="145" spans="1:11" x14ac:dyDescent="0.3">
      <c r="A145" t="s">
        <v>73</v>
      </c>
      <c r="B145" t="s">
        <v>74</v>
      </c>
      <c r="C145">
        <v>5.7430000000000002E-2</v>
      </c>
      <c r="D145">
        <v>0.1</v>
      </c>
      <c r="E145">
        <v>0.63</v>
      </c>
      <c r="F145">
        <v>5.46</v>
      </c>
      <c r="G145">
        <f>ABS(D145)</f>
        <v>0.1</v>
      </c>
      <c r="H145">
        <f>-ABS(E145)</f>
        <v>-0.63</v>
      </c>
      <c r="I145">
        <f>ABS(F145)</f>
        <v>5.46</v>
      </c>
      <c r="J145">
        <f>C145*(1+H145/100)</f>
        <v>5.7068191000000004E-2</v>
      </c>
      <c r="K145">
        <f>C145*(1+I145/100)</f>
        <v>6.0565677999999998E-2</v>
      </c>
    </row>
    <row r="146" spans="1:11" x14ac:dyDescent="0.3">
      <c r="A146" t="s">
        <v>191</v>
      </c>
      <c r="B146" t="s">
        <v>192</v>
      </c>
      <c r="C146">
        <v>0.2228</v>
      </c>
      <c r="D146">
        <v>0.1</v>
      </c>
      <c r="E146">
        <v>7.54</v>
      </c>
      <c r="F146">
        <v>6.1</v>
      </c>
      <c r="G146">
        <f>ABS(D146)</f>
        <v>0.1</v>
      </c>
      <c r="H146">
        <f>-ABS(E146)</f>
        <v>-7.54</v>
      </c>
      <c r="I146">
        <f>ABS(F146)</f>
        <v>6.1</v>
      </c>
      <c r="J146">
        <f>C146*(1+H146/100)</f>
        <v>0.20600088</v>
      </c>
      <c r="K146">
        <f>C146*(1+I146/100)</f>
        <v>0.23639079999999998</v>
      </c>
    </row>
    <row r="147" spans="1:11" x14ac:dyDescent="0.3">
      <c r="A147" t="s">
        <v>336</v>
      </c>
      <c r="B147" t="s">
        <v>337</v>
      </c>
      <c r="C147">
        <v>0.1741</v>
      </c>
      <c r="D147">
        <v>0.1</v>
      </c>
      <c r="E147">
        <v>2.17</v>
      </c>
      <c r="F147">
        <v>9.6</v>
      </c>
      <c r="G147">
        <f>ABS(D147)</f>
        <v>0.1</v>
      </c>
      <c r="H147">
        <f>-ABS(E147)</f>
        <v>-2.17</v>
      </c>
      <c r="I147">
        <f>ABS(F147)</f>
        <v>9.6</v>
      </c>
      <c r="J147">
        <f>C147*(1+H147/100)</f>
        <v>0.17032202999999999</v>
      </c>
      <c r="K147">
        <f>C147*(1+I147/100)</f>
        <v>0.19081360000000003</v>
      </c>
    </row>
    <row r="148" spans="1:11" x14ac:dyDescent="0.3">
      <c r="A148" t="s">
        <v>356</v>
      </c>
      <c r="B148" t="s">
        <v>357</v>
      </c>
      <c r="C148">
        <v>0.35899999999999999</v>
      </c>
      <c r="D148">
        <v>0.1</v>
      </c>
      <c r="E148">
        <v>9.85</v>
      </c>
      <c r="F148">
        <v>32.4</v>
      </c>
      <c r="G148">
        <f>ABS(D148)</f>
        <v>0.1</v>
      </c>
      <c r="H148">
        <f>-ABS(E148)</f>
        <v>-9.85</v>
      </c>
      <c r="I148">
        <f>ABS(F148)</f>
        <v>32.4</v>
      </c>
      <c r="J148">
        <f>C148*(1+H148/100)</f>
        <v>0.3236385</v>
      </c>
      <c r="K148">
        <f>C148*(1+I148/100)</f>
        <v>0.47531600000000002</v>
      </c>
    </row>
    <row r="149" spans="1:11" x14ac:dyDescent="0.3">
      <c r="A149" t="s">
        <v>364</v>
      </c>
      <c r="B149" t="s">
        <v>365</v>
      </c>
      <c r="C149">
        <v>6.4476000000000006E-2</v>
      </c>
      <c r="D149">
        <v>0.1</v>
      </c>
      <c r="E149">
        <v>2.08</v>
      </c>
      <c r="F149">
        <v>9.15</v>
      </c>
      <c r="G149">
        <f>ABS(D149)</f>
        <v>0.1</v>
      </c>
      <c r="H149">
        <f>-ABS(E149)</f>
        <v>-2.08</v>
      </c>
      <c r="I149">
        <f>ABS(F149)</f>
        <v>9.15</v>
      </c>
      <c r="J149">
        <f>C149*(1+H149/100)</f>
        <v>6.3134899199999997E-2</v>
      </c>
      <c r="K149">
        <f>C149*(1+I149/100)</f>
        <v>7.0375554000000007E-2</v>
      </c>
    </row>
    <row r="150" spans="1:11" x14ac:dyDescent="0.3">
      <c r="A150" t="s">
        <v>17</v>
      </c>
      <c r="B150" t="s">
        <v>18</v>
      </c>
      <c r="C150">
        <v>0.32469999999999999</v>
      </c>
      <c r="D150">
        <v>0.09</v>
      </c>
      <c r="E150">
        <v>1.56</v>
      </c>
      <c r="F150">
        <v>1.61</v>
      </c>
      <c r="G150">
        <f>ABS(D150)</f>
        <v>0.09</v>
      </c>
      <c r="H150">
        <f>-ABS(E150)</f>
        <v>-1.56</v>
      </c>
      <c r="I150">
        <f>ABS(F150)</f>
        <v>1.61</v>
      </c>
      <c r="J150">
        <f>C150*(1+H150/100)</f>
        <v>0.31963468</v>
      </c>
      <c r="K150">
        <f>C150*(1+I150/100)</f>
        <v>0.32992767000000001</v>
      </c>
    </row>
    <row r="151" spans="1:11" x14ac:dyDescent="0.3">
      <c r="A151" t="s">
        <v>31</v>
      </c>
      <c r="B151" t="s">
        <v>32</v>
      </c>
      <c r="C151">
        <v>0.15859999999999999</v>
      </c>
      <c r="D151">
        <v>0.09</v>
      </c>
      <c r="E151">
        <v>0.96</v>
      </c>
      <c r="F151">
        <v>11.53</v>
      </c>
      <c r="G151">
        <f>ABS(D151)</f>
        <v>0.09</v>
      </c>
      <c r="H151">
        <f>-ABS(E151)</f>
        <v>-0.96</v>
      </c>
      <c r="I151">
        <f>ABS(F151)</f>
        <v>11.53</v>
      </c>
      <c r="J151">
        <f>C151*(1+H151/100)</f>
        <v>0.15707743999999998</v>
      </c>
      <c r="K151">
        <f>C151*(1+I151/100)</f>
        <v>0.17688657999999999</v>
      </c>
    </row>
    <row r="152" spans="1:11" x14ac:dyDescent="0.3">
      <c r="A152" t="s">
        <v>53</v>
      </c>
      <c r="B152" t="s">
        <v>54</v>
      </c>
      <c r="C152">
        <v>0.72989999999999999</v>
      </c>
      <c r="D152">
        <v>0.09</v>
      </c>
      <c r="E152">
        <v>0.31</v>
      </c>
      <c r="F152">
        <v>1.21</v>
      </c>
      <c r="G152">
        <f>ABS(D152)</f>
        <v>0.09</v>
      </c>
      <c r="H152">
        <f>-ABS(E152)</f>
        <v>-0.31</v>
      </c>
      <c r="I152">
        <f>ABS(F152)</f>
        <v>1.21</v>
      </c>
      <c r="J152">
        <f>C152*(1+H152/100)</f>
        <v>0.72763730999999998</v>
      </c>
      <c r="K152">
        <f>C152*(1+I152/100)</f>
        <v>0.73873179</v>
      </c>
    </row>
    <row r="153" spans="1:11" x14ac:dyDescent="0.3">
      <c r="A153" t="s">
        <v>173</v>
      </c>
      <c r="B153" t="s">
        <v>174</v>
      </c>
      <c r="C153">
        <v>0.55410000000000004</v>
      </c>
      <c r="D153">
        <v>0.09</v>
      </c>
      <c r="E153">
        <v>1.71</v>
      </c>
      <c r="F153">
        <v>1.89</v>
      </c>
      <c r="G153">
        <f>ABS(D153)</f>
        <v>0.09</v>
      </c>
      <c r="H153">
        <f>-ABS(E153)</f>
        <v>-1.71</v>
      </c>
      <c r="I153">
        <f>ABS(F153)</f>
        <v>1.89</v>
      </c>
      <c r="J153">
        <f>C153*(1+H153/100)</f>
        <v>0.54462489000000003</v>
      </c>
      <c r="K153">
        <f>C153*(1+I153/100)</f>
        <v>0.56457248999999998</v>
      </c>
    </row>
    <row r="154" spans="1:11" x14ac:dyDescent="0.3">
      <c r="A154" t="s">
        <v>217</v>
      </c>
      <c r="B154" t="s">
        <v>218</v>
      </c>
      <c r="C154">
        <v>0.12839999999999999</v>
      </c>
      <c r="D154">
        <v>0.09</v>
      </c>
      <c r="E154">
        <v>3.64</v>
      </c>
      <c r="F154">
        <v>7.52</v>
      </c>
      <c r="G154">
        <f>ABS(D154)</f>
        <v>0.09</v>
      </c>
      <c r="H154">
        <f>-ABS(E154)</f>
        <v>-3.64</v>
      </c>
      <c r="I154">
        <f>ABS(F154)</f>
        <v>7.52</v>
      </c>
      <c r="J154">
        <f>C154*(1+H154/100)</f>
        <v>0.12372623999999999</v>
      </c>
      <c r="K154">
        <f>C154*(1+I154/100)</f>
        <v>0.13805567999999999</v>
      </c>
    </row>
    <row r="155" spans="1:11" x14ac:dyDescent="0.3">
      <c r="A155" t="s">
        <v>221</v>
      </c>
      <c r="B155" t="s">
        <v>222</v>
      </c>
      <c r="C155">
        <v>0.22470000000000001</v>
      </c>
      <c r="D155">
        <v>0.09</v>
      </c>
      <c r="E155">
        <v>0.37</v>
      </c>
      <c r="F155">
        <v>8.0299999999999994</v>
      </c>
      <c r="G155">
        <f>ABS(D155)</f>
        <v>0.09</v>
      </c>
      <c r="H155">
        <f>-ABS(E155)</f>
        <v>-0.37</v>
      </c>
      <c r="I155">
        <f>ABS(F155)</f>
        <v>8.0299999999999994</v>
      </c>
      <c r="J155">
        <f>C155*(1+H155/100)</f>
        <v>0.22386861</v>
      </c>
      <c r="K155">
        <f>C155*(1+I155/100)</f>
        <v>0.24274341000000002</v>
      </c>
    </row>
    <row r="156" spans="1:11" x14ac:dyDescent="0.3">
      <c r="A156" t="s">
        <v>326</v>
      </c>
      <c r="B156" t="s">
        <v>327</v>
      </c>
      <c r="C156">
        <v>5.1737999999999999E-2</v>
      </c>
      <c r="D156">
        <v>0.09</v>
      </c>
      <c r="E156">
        <v>4.17</v>
      </c>
      <c r="F156">
        <v>39.35</v>
      </c>
      <c r="G156">
        <f>ABS(D156)</f>
        <v>0.09</v>
      </c>
      <c r="H156">
        <f>-ABS(E156)</f>
        <v>-4.17</v>
      </c>
      <c r="I156">
        <f>ABS(F156)</f>
        <v>39.35</v>
      </c>
      <c r="J156">
        <f>C156*(1+H156/100)</f>
        <v>4.9580525399999999E-2</v>
      </c>
      <c r="K156">
        <f>C156*(1+I156/100)</f>
        <v>7.2096903000000004E-2</v>
      </c>
    </row>
    <row r="157" spans="1:11" x14ac:dyDescent="0.3">
      <c r="A157" t="s">
        <v>348</v>
      </c>
      <c r="B157" t="s">
        <v>348</v>
      </c>
      <c r="C157">
        <v>9.7300000000000002E-4</v>
      </c>
      <c r="D157">
        <v>0.09</v>
      </c>
      <c r="E157">
        <v>0.55000000000000004</v>
      </c>
      <c r="F157">
        <v>2.87</v>
      </c>
      <c r="G157">
        <f>ABS(D157)</f>
        <v>0.09</v>
      </c>
      <c r="H157">
        <f>-ABS(E157)</f>
        <v>-0.55000000000000004</v>
      </c>
      <c r="I157">
        <f>ABS(F157)</f>
        <v>2.87</v>
      </c>
      <c r="J157">
        <f>C157*(1+H157/100)</f>
        <v>9.6764850000000005E-4</v>
      </c>
      <c r="K157">
        <f>C157*(1+I157/100)</f>
        <v>1.0009251E-3</v>
      </c>
    </row>
    <row r="158" spans="1:11" x14ac:dyDescent="0.3">
      <c r="A158" t="s">
        <v>324</v>
      </c>
      <c r="B158" t="s">
        <v>325</v>
      </c>
      <c r="C158">
        <v>0.21679999999999999</v>
      </c>
      <c r="D158">
        <v>0.08</v>
      </c>
      <c r="E158">
        <v>0.71</v>
      </c>
      <c r="F158">
        <v>3.6</v>
      </c>
      <c r="G158">
        <f>ABS(D158)</f>
        <v>0.08</v>
      </c>
      <c r="H158">
        <f>-ABS(E158)</f>
        <v>-0.71</v>
      </c>
      <c r="I158">
        <f>ABS(F158)</f>
        <v>3.6</v>
      </c>
      <c r="J158">
        <f>C158*(1+H158/100)</f>
        <v>0.21526071999999999</v>
      </c>
      <c r="K158">
        <f>C158*(1+I158/100)</f>
        <v>0.22460479999999999</v>
      </c>
    </row>
    <row r="159" spans="1:11" x14ac:dyDescent="0.3">
      <c r="A159" t="s">
        <v>360</v>
      </c>
      <c r="B159" t="s">
        <v>361</v>
      </c>
      <c r="C159">
        <v>4.202E-3</v>
      </c>
      <c r="D159">
        <v>0.08</v>
      </c>
      <c r="E159">
        <v>2.0499999999999998</v>
      </c>
      <c r="F159">
        <v>7.49</v>
      </c>
      <c r="G159">
        <f>ABS(D159)</f>
        <v>0.08</v>
      </c>
      <c r="H159">
        <f>-ABS(E159)</f>
        <v>-2.0499999999999998</v>
      </c>
      <c r="I159">
        <f>ABS(F159)</f>
        <v>7.49</v>
      </c>
      <c r="J159">
        <f>C159*(1+H159/100)</f>
        <v>4.1158590000000004E-3</v>
      </c>
      <c r="K159">
        <f>C159*(1+I159/100)</f>
        <v>4.5167298E-3</v>
      </c>
    </row>
    <row r="160" spans="1:11" x14ac:dyDescent="0.3">
      <c r="A160" t="s">
        <v>29</v>
      </c>
      <c r="B160" t="s">
        <v>30</v>
      </c>
      <c r="C160">
        <v>0.1782</v>
      </c>
      <c r="D160">
        <v>7.0000000000000007E-2</v>
      </c>
      <c r="E160">
        <v>3.06</v>
      </c>
      <c r="F160">
        <v>8.1199999999999992</v>
      </c>
      <c r="G160">
        <f>ABS(D160)</f>
        <v>7.0000000000000007E-2</v>
      </c>
      <c r="H160">
        <f>-ABS(E160)</f>
        <v>-3.06</v>
      </c>
      <c r="I160">
        <f>ABS(F160)</f>
        <v>8.1199999999999992</v>
      </c>
      <c r="J160">
        <f>C160*(1+H160/100)</f>
        <v>0.17274708</v>
      </c>
      <c r="K160">
        <f>C160*(1+I160/100)</f>
        <v>0.19266983999999998</v>
      </c>
    </row>
    <row r="161" spans="1:11" x14ac:dyDescent="0.3">
      <c r="A161" t="s">
        <v>79</v>
      </c>
      <c r="B161" t="s">
        <v>80</v>
      </c>
      <c r="C161">
        <v>0.62880000000000003</v>
      </c>
      <c r="D161">
        <v>7.0000000000000007E-2</v>
      </c>
      <c r="E161">
        <v>0.88</v>
      </c>
      <c r="F161">
        <v>0.98</v>
      </c>
      <c r="G161">
        <f>ABS(D161)</f>
        <v>7.0000000000000007E-2</v>
      </c>
      <c r="H161">
        <f>-ABS(E161)</f>
        <v>-0.88</v>
      </c>
      <c r="I161">
        <f>ABS(F161)</f>
        <v>0.98</v>
      </c>
      <c r="J161">
        <f>C161*(1+H161/100)</f>
        <v>0.62326656000000002</v>
      </c>
      <c r="K161">
        <f>C161*(1+I161/100)</f>
        <v>0.63496224000000001</v>
      </c>
    </row>
    <row r="162" spans="1:11" x14ac:dyDescent="0.3">
      <c r="A162" t="s">
        <v>239</v>
      </c>
      <c r="B162" t="s">
        <v>240</v>
      </c>
      <c r="C162">
        <v>3.3570000000000003E-2</v>
      </c>
      <c r="D162">
        <v>7.0000000000000007E-2</v>
      </c>
      <c r="E162">
        <v>2.08</v>
      </c>
      <c r="F162">
        <v>3.06</v>
      </c>
      <c r="G162">
        <f>ABS(D162)</f>
        <v>7.0000000000000007E-2</v>
      </c>
      <c r="H162">
        <f>-ABS(E162)</f>
        <v>-2.08</v>
      </c>
      <c r="I162">
        <f>ABS(F162)</f>
        <v>3.06</v>
      </c>
      <c r="J162">
        <f>C162*(1+H162/100)</f>
        <v>3.2871744000000001E-2</v>
      </c>
      <c r="K162">
        <f>C162*(1+I162/100)</f>
        <v>3.4597242E-2</v>
      </c>
    </row>
    <row r="163" spans="1:11" x14ac:dyDescent="0.3">
      <c r="A163" t="s">
        <v>354</v>
      </c>
      <c r="B163" t="s">
        <v>355</v>
      </c>
      <c r="C163">
        <v>0.29420000000000002</v>
      </c>
      <c r="D163">
        <v>7.0000000000000007E-2</v>
      </c>
      <c r="E163">
        <v>0.14000000000000001</v>
      </c>
      <c r="F163">
        <v>0.25</v>
      </c>
      <c r="G163">
        <f>ABS(D163)</f>
        <v>7.0000000000000007E-2</v>
      </c>
      <c r="H163">
        <f>-ABS(E163)</f>
        <v>-0.14000000000000001</v>
      </c>
      <c r="I163">
        <f>ABS(F163)</f>
        <v>0.25</v>
      </c>
      <c r="J163">
        <f>C163*(1+H163/100)</f>
        <v>0.29378812000000004</v>
      </c>
      <c r="K163">
        <f>C163*(1+I163/100)</f>
        <v>0.29493550000000002</v>
      </c>
    </row>
    <row r="164" spans="1:11" x14ac:dyDescent="0.3">
      <c r="A164" t="s">
        <v>125</v>
      </c>
      <c r="B164" t="s">
        <v>126</v>
      </c>
      <c r="C164">
        <v>2.827E-2</v>
      </c>
      <c r="D164">
        <v>0.06</v>
      </c>
      <c r="E164">
        <v>0.51</v>
      </c>
      <c r="F164">
        <v>4.33</v>
      </c>
      <c r="G164">
        <f>ABS(D164)</f>
        <v>0.06</v>
      </c>
      <c r="H164">
        <f>-ABS(E164)</f>
        <v>-0.51</v>
      </c>
      <c r="I164">
        <f>ABS(F164)</f>
        <v>4.33</v>
      </c>
      <c r="J164">
        <f>C164*(1+H164/100)</f>
        <v>2.8125823000000001E-2</v>
      </c>
      <c r="K164">
        <f>C164*(1+I164/100)</f>
        <v>2.9494090999999997E-2</v>
      </c>
    </row>
    <row r="165" spans="1:11" x14ac:dyDescent="0.3">
      <c r="A165" t="s">
        <v>142</v>
      </c>
      <c r="B165" t="s">
        <v>143</v>
      </c>
      <c r="C165">
        <v>1.451E-3</v>
      </c>
      <c r="D165">
        <v>0.06</v>
      </c>
      <c r="E165">
        <v>3.93</v>
      </c>
      <c r="F165">
        <v>12.8</v>
      </c>
      <c r="G165">
        <f>ABS(D165)</f>
        <v>0.06</v>
      </c>
      <c r="H165">
        <f>-ABS(E165)</f>
        <v>-3.93</v>
      </c>
      <c r="I165">
        <f>ABS(F165)</f>
        <v>12.8</v>
      </c>
      <c r="J165">
        <f>C165*(1+H165/100)</f>
        <v>1.3939757E-3</v>
      </c>
      <c r="K165">
        <f>C165*(1+I165/100)</f>
        <v>1.6367280000000003E-3</v>
      </c>
    </row>
    <row r="166" spans="1:11" x14ac:dyDescent="0.3">
      <c r="A166" t="s">
        <v>160</v>
      </c>
      <c r="B166" t="s">
        <v>161</v>
      </c>
      <c r="C166">
        <v>0.48659999999999998</v>
      </c>
      <c r="D166">
        <v>0.06</v>
      </c>
      <c r="E166">
        <v>1.95</v>
      </c>
      <c r="F166">
        <v>16.61</v>
      </c>
      <c r="G166">
        <f>ABS(D166)</f>
        <v>0.06</v>
      </c>
      <c r="H166">
        <f>-ABS(E166)</f>
        <v>-1.95</v>
      </c>
      <c r="I166">
        <f>ABS(F166)</f>
        <v>16.61</v>
      </c>
      <c r="J166">
        <f>C166*(1+H166/100)</f>
        <v>0.47711130000000002</v>
      </c>
      <c r="K166">
        <f>C166*(1+I166/100)</f>
        <v>0.5674242599999999</v>
      </c>
    </row>
    <row r="167" spans="1:11" x14ac:dyDescent="0.3">
      <c r="A167" t="s">
        <v>260</v>
      </c>
      <c r="B167" t="s">
        <v>261</v>
      </c>
      <c r="C167">
        <v>1.6400000000000001E-2</v>
      </c>
      <c r="D167">
        <v>0.06</v>
      </c>
      <c r="E167">
        <v>2.35</v>
      </c>
      <c r="F167">
        <v>8.18</v>
      </c>
      <c r="G167">
        <f>ABS(D167)</f>
        <v>0.06</v>
      </c>
      <c r="H167">
        <f>-ABS(E167)</f>
        <v>-2.35</v>
      </c>
      <c r="I167">
        <f>ABS(F167)</f>
        <v>8.18</v>
      </c>
      <c r="J167">
        <f>C167*(1+H167/100)</f>
        <v>1.60146E-2</v>
      </c>
      <c r="K167">
        <f>C167*(1+I167/100)</f>
        <v>1.7741520000000004E-2</v>
      </c>
    </row>
    <row r="168" spans="1:11" x14ac:dyDescent="0.3">
      <c r="A168" t="s">
        <v>97</v>
      </c>
      <c r="B168" t="s">
        <v>98</v>
      </c>
      <c r="C168">
        <v>2.19</v>
      </c>
      <c r="D168">
        <v>0.05</v>
      </c>
      <c r="E168">
        <v>0.67</v>
      </c>
      <c r="F168">
        <v>1.1100000000000001</v>
      </c>
      <c r="G168">
        <f>ABS(D168)</f>
        <v>0.05</v>
      </c>
      <c r="H168">
        <f>-ABS(E168)</f>
        <v>-0.67</v>
      </c>
      <c r="I168">
        <f>ABS(F168)</f>
        <v>1.1100000000000001</v>
      </c>
      <c r="J168">
        <f>C168*(1+H168/100)</f>
        <v>2.1753269999999998</v>
      </c>
      <c r="K168">
        <f>C168*(1+I168/100)</f>
        <v>2.2143090000000001</v>
      </c>
    </row>
    <row r="169" spans="1:11" x14ac:dyDescent="0.3">
      <c r="A169" t="s">
        <v>162</v>
      </c>
      <c r="B169" t="s">
        <v>163</v>
      </c>
      <c r="C169">
        <v>0.72619999999999996</v>
      </c>
      <c r="D169">
        <v>0.05</v>
      </c>
      <c r="E169">
        <v>0.64</v>
      </c>
      <c r="F169">
        <v>2.62</v>
      </c>
      <c r="G169">
        <f>ABS(D169)</f>
        <v>0.05</v>
      </c>
      <c r="H169">
        <f>-ABS(E169)</f>
        <v>-0.64</v>
      </c>
      <c r="I169">
        <f>ABS(F169)</f>
        <v>2.62</v>
      </c>
      <c r="J169">
        <f>C169*(1+H169/100)</f>
        <v>0.72155232000000002</v>
      </c>
      <c r="K169">
        <f>C169*(1+I169/100)</f>
        <v>0.74522643999999993</v>
      </c>
    </row>
    <row r="170" spans="1:11" x14ac:dyDescent="0.3">
      <c r="A170" t="s">
        <v>164</v>
      </c>
      <c r="B170" t="s">
        <v>165</v>
      </c>
      <c r="C170">
        <v>1.39</v>
      </c>
      <c r="D170">
        <v>0.05</v>
      </c>
      <c r="E170">
        <v>0.13</v>
      </c>
      <c r="F170">
        <v>1.42</v>
      </c>
      <c r="G170">
        <f>ABS(D170)</f>
        <v>0.05</v>
      </c>
      <c r="H170">
        <f>-ABS(E170)</f>
        <v>-0.13</v>
      </c>
      <c r="I170">
        <f>ABS(F170)</f>
        <v>1.42</v>
      </c>
      <c r="J170">
        <f>C170*(1+H170/100)</f>
        <v>1.388193</v>
      </c>
      <c r="K170">
        <f>C170*(1+I170/100)</f>
        <v>1.4097379999999999</v>
      </c>
    </row>
    <row r="171" spans="1:11" x14ac:dyDescent="0.3">
      <c r="A171" t="s">
        <v>248</v>
      </c>
      <c r="B171" t="s">
        <v>249</v>
      </c>
      <c r="C171">
        <v>2.0860000000000002E-3</v>
      </c>
      <c r="D171">
        <v>0.05</v>
      </c>
      <c r="E171">
        <v>4.75</v>
      </c>
      <c r="F171">
        <v>7.75</v>
      </c>
      <c r="G171">
        <f>ABS(D171)</f>
        <v>0.05</v>
      </c>
      <c r="H171">
        <f>-ABS(E171)</f>
        <v>-4.75</v>
      </c>
      <c r="I171">
        <f>ABS(F171)</f>
        <v>7.75</v>
      </c>
      <c r="J171">
        <f>C171*(1+H171/100)</f>
        <v>1.9869150000000001E-3</v>
      </c>
      <c r="K171">
        <f>C171*(1+I171/100)</f>
        <v>2.2476649999999998E-3</v>
      </c>
    </row>
    <row r="172" spans="1:11" x14ac:dyDescent="0.3">
      <c r="A172" t="s">
        <v>314</v>
      </c>
      <c r="B172" t="s">
        <v>315</v>
      </c>
      <c r="C172">
        <v>7.9229999999999995E-2</v>
      </c>
      <c r="D172">
        <v>0.05</v>
      </c>
      <c r="E172">
        <v>4.6500000000000004</v>
      </c>
      <c r="F172">
        <v>9.08</v>
      </c>
      <c r="G172">
        <f>ABS(D172)</f>
        <v>0.05</v>
      </c>
      <c r="H172">
        <f>-ABS(E172)</f>
        <v>-4.6500000000000004</v>
      </c>
      <c r="I172">
        <f>ABS(F172)</f>
        <v>9.08</v>
      </c>
      <c r="J172">
        <f>C172*(1+H172/100)</f>
        <v>7.5545804999999994E-2</v>
      </c>
      <c r="K172">
        <f>C172*(1+I172/100)</f>
        <v>8.6424083999999998E-2</v>
      </c>
    </row>
    <row r="173" spans="1:11" x14ac:dyDescent="0.3">
      <c r="A173" t="s">
        <v>41</v>
      </c>
      <c r="B173" t="s">
        <v>42</v>
      </c>
      <c r="C173">
        <v>0.99860000000000004</v>
      </c>
      <c r="D173">
        <v>0.04</v>
      </c>
      <c r="E173">
        <v>0.02</v>
      </c>
      <c r="F173">
        <v>0.01</v>
      </c>
      <c r="G173">
        <f>ABS(D173)</f>
        <v>0.04</v>
      </c>
      <c r="H173">
        <f>-ABS(E173)</f>
        <v>-0.02</v>
      </c>
      <c r="I173">
        <f>ABS(F173)</f>
        <v>0.01</v>
      </c>
      <c r="J173">
        <f>C173*(1+H173/100)</f>
        <v>0.99840028000000003</v>
      </c>
      <c r="K173">
        <f>C173*(1+I173/100)</f>
        <v>0.99869985999999999</v>
      </c>
    </row>
    <row r="174" spans="1:11" x14ac:dyDescent="0.3">
      <c r="A174" t="s">
        <v>245</v>
      </c>
      <c r="B174" t="s">
        <v>246</v>
      </c>
      <c r="C174">
        <v>6.8260000000000001E-2</v>
      </c>
      <c r="D174">
        <v>0.04</v>
      </c>
      <c r="E174">
        <v>6.11</v>
      </c>
      <c r="F174">
        <v>3.26</v>
      </c>
      <c r="G174">
        <f>ABS(D174)</f>
        <v>0.04</v>
      </c>
      <c r="H174">
        <f>-ABS(E174)</f>
        <v>-6.11</v>
      </c>
      <c r="I174">
        <f>ABS(F174)</f>
        <v>3.26</v>
      </c>
      <c r="J174">
        <f>C174*(1+H174/100)</f>
        <v>6.4089313999999994E-2</v>
      </c>
      <c r="K174">
        <f>C174*(1+I174/100)</f>
        <v>7.0485275999999999E-2</v>
      </c>
    </row>
    <row r="175" spans="1:11" x14ac:dyDescent="0.3">
      <c r="A175" t="s">
        <v>340</v>
      </c>
      <c r="B175" t="s">
        <v>341</v>
      </c>
      <c r="C175">
        <v>1.8169999999999999E-2</v>
      </c>
      <c r="D175">
        <v>0.04</v>
      </c>
      <c r="E175">
        <v>1.56</v>
      </c>
      <c r="F175">
        <v>3.86</v>
      </c>
      <c r="G175">
        <f>ABS(D175)</f>
        <v>0.04</v>
      </c>
      <c r="H175">
        <f>-ABS(E175)</f>
        <v>-1.56</v>
      </c>
      <c r="I175">
        <f>ABS(F175)</f>
        <v>3.86</v>
      </c>
      <c r="J175">
        <f>C175*(1+H175/100)</f>
        <v>1.7886547999999999E-2</v>
      </c>
      <c r="K175">
        <f>C175*(1+I175/100)</f>
        <v>1.8871361999999999E-2</v>
      </c>
    </row>
    <row r="176" spans="1:11" x14ac:dyDescent="0.3">
      <c r="A176" t="s">
        <v>57</v>
      </c>
      <c r="B176" t="s">
        <v>58</v>
      </c>
      <c r="C176">
        <v>0.99980000000000002</v>
      </c>
      <c r="D176">
        <v>0.03</v>
      </c>
      <c r="E176">
        <v>0.02</v>
      </c>
      <c r="F176">
        <v>0.02</v>
      </c>
      <c r="G176">
        <f>ABS(D176)</f>
        <v>0.03</v>
      </c>
      <c r="H176">
        <f>-ABS(E176)</f>
        <v>-0.02</v>
      </c>
      <c r="I176">
        <f>ABS(F176)</f>
        <v>0.02</v>
      </c>
      <c r="J176">
        <f>C176*(1+H176/100)</f>
        <v>0.99960004000000002</v>
      </c>
      <c r="K176">
        <f>C176*(1+I176/100)</f>
        <v>0.99999996000000002</v>
      </c>
    </row>
    <row r="177" spans="1:11" x14ac:dyDescent="0.3">
      <c r="A177" t="s">
        <v>158</v>
      </c>
      <c r="B177" t="s">
        <v>159</v>
      </c>
      <c r="C177">
        <v>2.912E-2</v>
      </c>
      <c r="D177">
        <v>0.03</v>
      </c>
      <c r="E177">
        <v>3.35</v>
      </c>
      <c r="F177">
        <v>13.42</v>
      </c>
      <c r="G177">
        <f>ABS(D177)</f>
        <v>0.03</v>
      </c>
      <c r="H177">
        <f>-ABS(E177)</f>
        <v>-3.35</v>
      </c>
      <c r="I177">
        <f>ABS(F177)</f>
        <v>13.42</v>
      </c>
      <c r="J177">
        <f>C177*(1+H177/100)</f>
        <v>2.8144479999999999E-2</v>
      </c>
      <c r="K177">
        <f>C177*(1+I177/100)</f>
        <v>3.3027903999999997E-2</v>
      </c>
    </row>
    <row r="178" spans="1:11" x14ac:dyDescent="0.3">
      <c r="A178" t="s">
        <v>187</v>
      </c>
      <c r="B178" t="s">
        <v>188</v>
      </c>
      <c r="C178">
        <v>0.99660000000000004</v>
      </c>
      <c r="D178">
        <v>0.03</v>
      </c>
      <c r="E178">
        <v>0.04</v>
      </c>
      <c r="F178">
        <v>0.06</v>
      </c>
      <c r="G178">
        <f>ABS(D178)</f>
        <v>0.03</v>
      </c>
      <c r="H178">
        <f>-ABS(E178)</f>
        <v>-0.04</v>
      </c>
      <c r="I178">
        <f>ABS(F178)</f>
        <v>0.06</v>
      </c>
      <c r="J178">
        <f>C178*(1+H178/100)</f>
        <v>0.99620136000000004</v>
      </c>
      <c r="K178">
        <f>C178*(1+I178/100)</f>
        <v>0.99719795999999994</v>
      </c>
    </row>
    <row r="179" spans="1:11" x14ac:dyDescent="0.3">
      <c r="A179" t="s">
        <v>264</v>
      </c>
      <c r="B179" t="s">
        <v>265</v>
      </c>
      <c r="C179">
        <v>0.97499999999999998</v>
      </c>
      <c r="D179">
        <v>0.03</v>
      </c>
      <c r="E179">
        <v>1.1200000000000001</v>
      </c>
      <c r="F179">
        <v>2.81</v>
      </c>
      <c r="G179">
        <f>ABS(D179)</f>
        <v>0.03</v>
      </c>
      <c r="H179">
        <f>-ABS(E179)</f>
        <v>-1.1200000000000001</v>
      </c>
      <c r="I179">
        <f>ABS(F179)</f>
        <v>2.81</v>
      </c>
      <c r="J179">
        <f>C179*(1+H179/100)</f>
        <v>0.96407999999999994</v>
      </c>
      <c r="K179">
        <f>C179*(1+I179/100)</f>
        <v>1.0023975000000001</v>
      </c>
    </row>
    <row r="180" spans="1:11" x14ac:dyDescent="0.3">
      <c r="A180" t="s">
        <v>21</v>
      </c>
      <c r="B180" t="s">
        <v>22</v>
      </c>
      <c r="C180">
        <v>7.213E-2</v>
      </c>
      <c r="D180">
        <v>0.02</v>
      </c>
      <c r="E180">
        <v>0.28000000000000003</v>
      </c>
      <c r="F180">
        <v>3.62</v>
      </c>
      <c r="G180">
        <f>ABS(D180)</f>
        <v>0.02</v>
      </c>
      <c r="H180">
        <f>-ABS(E180)</f>
        <v>-0.28000000000000003</v>
      </c>
      <c r="I180">
        <f>ABS(F180)</f>
        <v>3.62</v>
      </c>
      <c r="J180">
        <f>C180*(1+H180/100)</f>
        <v>7.1928036000000001E-2</v>
      </c>
      <c r="K180">
        <f>C180*(1+I180/100)</f>
        <v>7.4741106000000002E-2</v>
      </c>
    </row>
    <row r="181" spans="1:11" x14ac:dyDescent="0.3">
      <c r="A181" t="s">
        <v>39</v>
      </c>
      <c r="B181" t="s">
        <v>40</v>
      </c>
      <c r="C181">
        <v>0.99960000000000004</v>
      </c>
      <c r="D181">
        <v>0.02</v>
      </c>
      <c r="E181">
        <v>0</v>
      </c>
      <c r="F181">
        <v>0.02</v>
      </c>
      <c r="G181">
        <f>ABS(D181)</f>
        <v>0.02</v>
      </c>
      <c r="H181">
        <f>-ABS(E181)</f>
        <v>0</v>
      </c>
      <c r="I181">
        <f>ABS(F181)</f>
        <v>0.02</v>
      </c>
      <c r="J181">
        <f>C181*(1+H181/100)</f>
        <v>0.99960000000000004</v>
      </c>
      <c r="K181">
        <f>C181*(1+I181/100)</f>
        <v>0.99979992000000006</v>
      </c>
    </row>
    <row r="182" spans="1:11" x14ac:dyDescent="0.3">
      <c r="A182" t="s">
        <v>115</v>
      </c>
      <c r="B182" t="s">
        <v>116</v>
      </c>
      <c r="C182">
        <v>0.1018</v>
      </c>
      <c r="D182">
        <v>0.02</v>
      </c>
      <c r="E182">
        <v>2.04</v>
      </c>
      <c r="F182">
        <v>10.08</v>
      </c>
      <c r="G182">
        <f>ABS(D182)</f>
        <v>0.02</v>
      </c>
      <c r="H182">
        <f>-ABS(E182)</f>
        <v>-2.04</v>
      </c>
      <c r="I182">
        <f>ABS(F182)</f>
        <v>10.08</v>
      </c>
      <c r="J182">
        <f>C182*(1+H182/100)</f>
        <v>9.9723279999999997E-2</v>
      </c>
      <c r="K182">
        <f>C182*(1+I182/100)</f>
        <v>0.11206144</v>
      </c>
    </row>
    <row r="183" spans="1:11" x14ac:dyDescent="0.3">
      <c r="A183" t="s">
        <v>131</v>
      </c>
      <c r="B183" t="s">
        <v>132</v>
      </c>
      <c r="C183">
        <v>8.3799999999999999E-2</v>
      </c>
      <c r="D183">
        <v>0.02</v>
      </c>
      <c r="E183">
        <v>1</v>
      </c>
      <c r="F183">
        <v>3.32</v>
      </c>
      <c r="G183">
        <f>ABS(D183)</f>
        <v>0.02</v>
      </c>
      <c r="H183">
        <f>-ABS(E183)</f>
        <v>-1</v>
      </c>
      <c r="I183">
        <f>ABS(F183)</f>
        <v>3.32</v>
      </c>
      <c r="J183">
        <f>C183*(1+H183/100)</f>
        <v>8.2961999999999994E-2</v>
      </c>
      <c r="K183">
        <f>C183*(1+I183/100)</f>
        <v>8.6582159999999991E-2</v>
      </c>
    </row>
    <row r="184" spans="1:11" x14ac:dyDescent="0.3">
      <c r="A184" t="s">
        <v>156</v>
      </c>
      <c r="B184" t="s">
        <v>157</v>
      </c>
      <c r="C184">
        <v>0.99729999999999996</v>
      </c>
      <c r="D184">
        <v>0.02</v>
      </c>
      <c r="E184">
        <v>0.04</v>
      </c>
      <c r="F184">
        <v>7.0000000000000007E-2</v>
      </c>
      <c r="G184">
        <f>ABS(D184)</f>
        <v>0.02</v>
      </c>
      <c r="H184">
        <f>-ABS(E184)</f>
        <v>-0.04</v>
      </c>
      <c r="I184">
        <f>ABS(F184)</f>
        <v>7.0000000000000007E-2</v>
      </c>
      <c r="J184">
        <f>C184*(1+H184/100)</f>
        <v>0.99690107999999999</v>
      </c>
      <c r="K184">
        <f>C184*(1+I184/100)</f>
        <v>0.99799810999999994</v>
      </c>
    </row>
    <row r="185" spans="1:11" x14ac:dyDescent="0.3">
      <c r="A185" t="s">
        <v>276</v>
      </c>
      <c r="B185" t="s">
        <v>277</v>
      </c>
      <c r="C185">
        <v>1.63</v>
      </c>
      <c r="D185">
        <v>0.02</v>
      </c>
      <c r="E185">
        <v>0.53</v>
      </c>
      <c r="F185">
        <v>0.75</v>
      </c>
      <c r="G185">
        <f>ABS(D185)</f>
        <v>0.02</v>
      </c>
      <c r="H185">
        <f>-ABS(E185)</f>
        <v>-0.53</v>
      </c>
      <c r="I185">
        <f>ABS(F185)</f>
        <v>0.75</v>
      </c>
      <c r="J185">
        <f>C185*(1+H185/100)</f>
        <v>1.6213609999999998</v>
      </c>
      <c r="K185">
        <f>C185*(1+I185/100)</f>
        <v>1.642225</v>
      </c>
    </row>
    <row r="186" spans="1:11" x14ac:dyDescent="0.3">
      <c r="A186" t="s">
        <v>382</v>
      </c>
      <c r="B186" t="s">
        <v>383</v>
      </c>
      <c r="C186">
        <v>0.14549999999999999</v>
      </c>
      <c r="D186">
        <v>0.02</v>
      </c>
      <c r="E186">
        <v>2.46</v>
      </c>
      <c r="F186">
        <v>12.81</v>
      </c>
      <c r="G186">
        <f>ABS(D186)</f>
        <v>0.02</v>
      </c>
      <c r="H186">
        <f>-ABS(E186)</f>
        <v>-2.46</v>
      </c>
      <c r="I186">
        <f>ABS(F186)</f>
        <v>12.81</v>
      </c>
      <c r="J186">
        <f>C186*(1+H186/100)</f>
        <v>0.14192070000000001</v>
      </c>
      <c r="K186">
        <f>C186*(1+I186/100)</f>
        <v>0.16413854999999997</v>
      </c>
    </row>
    <row r="187" spans="1:11" x14ac:dyDescent="0.3">
      <c r="A187" t="s">
        <v>390</v>
      </c>
      <c r="B187" t="s">
        <v>391</v>
      </c>
      <c r="C187">
        <v>1.51</v>
      </c>
      <c r="D187">
        <v>0.02</v>
      </c>
      <c r="E187">
        <v>0.95</v>
      </c>
      <c r="F187">
        <v>4.62</v>
      </c>
      <c r="G187">
        <f>ABS(D187)</f>
        <v>0.02</v>
      </c>
      <c r="H187">
        <f>-ABS(E187)</f>
        <v>-0.95</v>
      </c>
      <c r="I187">
        <f>ABS(F187)</f>
        <v>4.62</v>
      </c>
      <c r="J187">
        <f>C187*(1+H187/100)</f>
        <v>1.4956550000000002</v>
      </c>
      <c r="K187">
        <f>C187*(1+I187/100)</f>
        <v>1.5797620000000001</v>
      </c>
    </row>
    <row r="188" spans="1:11" x14ac:dyDescent="0.3">
      <c r="A188" t="s">
        <v>10</v>
      </c>
      <c r="B188" t="s">
        <v>11</v>
      </c>
      <c r="C188">
        <v>0.99880000000000002</v>
      </c>
      <c r="D188">
        <v>0.01</v>
      </c>
      <c r="E188">
        <v>0.01</v>
      </c>
      <c r="F188">
        <v>0.02</v>
      </c>
      <c r="G188">
        <f>ABS(D188)</f>
        <v>0.01</v>
      </c>
      <c r="H188">
        <f>-ABS(E188)</f>
        <v>-0.01</v>
      </c>
      <c r="I188">
        <f>ABS(F188)</f>
        <v>0.02</v>
      </c>
      <c r="J188">
        <f>C188*(1+H188/100)</f>
        <v>0.99870012000000008</v>
      </c>
      <c r="K188">
        <f>C188*(1+I188/100)</f>
        <v>0.99899976000000001</v>
      </c>
    </row>
    <row r="189" spans="1:11" x14ac:dyDescent="0.3">
      <c r="A189" t="s">
        <v>13</v>
      </c>
      <c r="B189" t="s">
        <v>13</v>
      </c>
      <c r="C189">
        <v>0.99980000000000002</v>
      </c>
      <c r="D189">
        <v>0.01</v>
      </c>
      <c r="E189">
        <v>0.01</v>
      </c>
      <c r="F189">
        <v>0</v>
      </c>
      <c r="G189">
        <f>ABS(D189)</f>
        <v>0.01</v>
      </c>
      <c r="H189">
        <f>-ABS(E189)</f>
        <v>-0.01</v>
      </c>
      <c r="I189">
        <f>ABS(F189)</f>
        <v>0</v>
      </c>
      <c r="J189">
        <f>C189*(1+H189/100)</f>
        <v>0.99970002000000002</v>
      </c>
      <c r="K189">
        <f>C189*(1+I189/100)</f>
        <v>0.99980000000000002</v>
      </c>
    </row>
    <row r="190" spans="1:11" x14ac:dyDescent="0.3">
      <c r="A190" t="s">
        <v>51</v>
      </c>
      <c r="B190" t="s">
        <v>52</v>
      </c>
      <c r="C190">
        <v>0.99980000000000002</v>
      </c>
      <c r="D190">
        <v>0.01</v>
      </c>
      <c r="E190">
        <v>0.01</v>
      </c>
      <c r="F190">
        <v>0</v>
      </c>
      <c r="G190">
        <f>ABS(D190)</f>
        <v>0.01</v>
      </c>
      <c r="H190">
        <f>-ABS(E190)</f>
        <v>-0.01</v>
      </c>
      <c r="I190">
        <f>ABS(F190)</f>
        <v>0</v>
      </c>
      <c r="J190">
        <f>C190*(1+H190/100)</f>
        <v>0.99970002000000002</v>
      </c>
      <c r="K190">
        <f>C190*(1+I190/100)</f>
        <v>0.99980000000000002</v>
      </c>
    </row>
    <row r="191" spans="1:11" x14ac:dyDescent="0.3">
      <c r="A191" t="s">
        <v>83</v>
      </c>
      <c r="B191" t="s">
        <v>84</v>
      </c>
      <c r="C191">
        <v>1</v>
      </c>
      <c r="D191">
        <v>0.01</v>
      </c>
      <c r="E191">
        <v>0.02</v>
      </c>
      <c r="F191">
        <v>0</v>
      </c>
      <c r="G191">
        <f>ABS(D191)</f>
        <v>0.01</v>
      </c>
      <c r="H191">
        <f>-ABS(E191)</f>
        <v>-0.02</v>
      </c>
      <c r="I191">
        <f>ABS(F191)</f>
        <v>0</v>
      </c>
      <c r="J191">
        <f>C191*(1+H191/100)</f>
        <v>0.99980000000000002</v>
      </c>
      <c r="K191">
        <f>C191*(1+I191/100)</f>
        <v>1</v>
      </c>
    </row>
    <row r="192" spans="1:11" x14ac:dyDescent="0.3">
      <c r="A192" t="s">
        <v>107</v>
      </c>
      <c r="B192" t="s">
        <v>108</v>
      </c>
      <c r="C192">
        <v>0.99950000000000006</v>
      </c>
      <c r="D192">
        <v>0.01</v>
      </c>
      <c r="E192">
        <v>0.01</v>
      </c>
      <c r="F192">
        <v>0</v>
      </c>
      <c r="G192">
        <f>ABS(D192)</f>
        <v>0.01</v>
      </c>
      <c r="H192">
        <f>-ABS(E192)</f>
        <v>-0.01</v>
      </c>
      <c r="I192">
        <f>ABS(F192)</f>
        <v>0</v>
      </c>
      <c r="J192">
        <f>C192*(1+H192/100)</f>
        <v>0.9994000500000001</v>
      </c>
      <c r="K192">
        <f>C192*(1+I192/100)</f>
        <v>0.99950000000000006</v>
      </c>
    </row>
    <row r="193" spans="1:11" x14ac:dyDescent="0.3">
      <c r="A193" t="s">
        <v>113</v>
      </c>
      <c r="B193" t="s">
        <v>114</v>
      </c>
      <c r="C193">
        <v>8.3570000000000005E-2</v>
      </c>
      <c r="D193">
        <v>0.01</v>
      </c>
      <c r="E193">
        <v>1.98</v>
      </c>
      <c r="F193">
        <v>10.69</v>
      </c>
      <c r="G193">
        <f>ABS(D193)</f>
        <v>0.01</v>
      </c>
      <c r="H193">
        <f>-ABS(E193)</f>
        <v>-1.98</v>
      </c>
      <c r="I193">
        <f>ABS(F193)</f>
        <v>10.69</v>
      </c>
      <c r="J193">
        <f>C193*(1+H193/100)</f>
        <v>8.1915314000000003E-2</v>
      </c>
      <c r="K193">
        <f>C193*(1+I193/100)</f>
        <v>9.2503633000000002E-2</v>
      </c>
    </row>
    <row r="194" spans="1:11" x14ac:dyDescent="0.3">
      <c r="A194" t="s">
        <v>146</v>
      </c>
      <c r="B194" t="s">
        <v>147</v>
      </c>
      <c r="C194">
        <v>2.6960000000000001E-2</v>
      </c>
      <c r="D194">
        <v>0.01</v>
      </c>
      <c r="E194">
        <v>0.28999999999999998</v>
      </c>
      <c r="F194">
        <v>2.54</v>
      </c>
      <c r="G194">
        <f>ABS(D194)</f>
        <v>0.01</v>
      </c>
      <c r="H194">
        <f>-ABS(E194)</f>
        <v>-0.28999999999999998</v>
      </c>
      <c r="I194">
        <f>ABS(F194)</f>
        <v>2.54</v>
      </c>
      <c r="J194">
        <f>C194*(1+H194/100)</f>
        <v>2.6881815999999999E-2</v>
      </c>
      <c r="K194">
        <f>C194*(1+I194/100)</f>
        <v>2.7644784000000002E-2</v>
      </c>
    </row>
    <row r="195" spans="1:11" x14ac:dyDescent="0.3">
      <c r="A195" t="s">
        <v>166</v>
      </c>
      <c r="B195" t="s">
        <v>166</v>
      </c>
      <c r="C195">
        <v>1.1299999999999999</v>
      </c>
      <c r="D195">
        <v>0.01</v>
      </c>
      <c r="E195">
        <v>0.31</v>
      </c>
      <c r="F195">
        <v>0.32</v>
      </c>
      <c r="G195">
        <f>ABS(D195)</f>
        <v>0.01</v>
      </c>
      <c r="H195">
        <f>-ABS(E195)</f>
        <v>-0.31</v>
      </c>
      <c r="I195">
        <f>ABS(F195)</f>
        <v>0.32</v>
      </c>
      <c r="J195">
        <f>C195*(1+H195/100)</f>
        <v>1.1264969999999999</v>
      </c>
      <c r="K195">
        <f>C195*(1+I195/100)</f>
        <v>1.133616</v>
      </c>
    </row>
    <row r="196" spans="1:11" x14ac:dyDescent="0.3">
      <c r="A196" t="s">
        <v>185</v>
      </c>
      <c r="B196" t="s">
        <v>186</v>
      </c>
      <c r="C196">
        <v>1.8149999999999999E-2</v>
      </c>
      <c r="D196">
        <v>0.01</v>
      </c>
      <c r="E196">
        <v>1.1200000000000001</v>
      </c>
      <c r="F196">
        <v>0.31</v>
      </c>
      <c r="G196">
        <f>ABS(D196)</f>
        <v>0.01</v>
      </c>
      <c r="H196">
        <f>-ABS(E196)</f>
        <v>-1.1200000000000001</v>
      </c>
      <c r="I196">
        <f>ABS(F196)</f>
        <v>0.31</v>
      </c>
      <c r="J196">
        <f>C196*(1+H196/100)</f>
        <v>1.7946719999999999E-2</v>
      </c>
      <c r="K196">
        <f>C196*(1+I196/100)</f>
        <v>1.8206265000000003E-2</v>
      </c>
    </row>
    <row r="197" spans="1:11" x14ac:dyDescent="0.3">
      <c r="A197" t="s">
        <v>288</v>
      </c>
      <c r="B197" t="s">
        <v>289</v>
      </c>
      <c r="C197">
        <v>3.6150000000000002E-3</v>
      </c>
      <c r="D197">
        <v>0.01</v>
      </c>
      <c r="E197">
        <v>3.54</v>
      </c>
      <c r="F197">
        <v>4.99</v>
      </c>
      <c r="G197">
        <f>ABS(D197)</f>
        <v>0.01</v>
      </c>
      <c r="H197">
        <f>-ABS(E197)</f>
        <v>-3.54</v>
      </c>
      <c r="I197">
        <f>ABS(F197)</f>
        <v>4.99</v>
      </c>
      <c r="J197">
        <f>C197*(1+H197/100)</f>
        <v>3.487029E-3</v>
      </c>
      <c r="K197">
        <f>C197*(1+I197/100)</f>
        <v>3.7953885000000004E-3</v>
      </c>
    </row>
    <row r="198" spans="1:11" x14ac:dyDescent="0.3">
      <c r="A198" t="s">
        <v>310</v>
      </c>
      <c r="B198" t="s">
        <v>311</v>
      </c>
      <c r="C198">
        <v>3.3570000000000003E-2</v>
      </c>
      <c r="D198">
        <v>0.01</v>
      </c>
      <c r="E198">
        <v>0.82</v>
      </c>
      <c r="F198">
        <v>0.11</v>
      </c>
      <c r="G198">
        <f>ABS(D198)</f>
        <v>0.01</v>
      </c>
      <c r="H198">
        <f>-ABS(E198)</f>
        <v>-0.82</v>
      </c>
      <c r="I198">
        <f>ABS(F198)</f>
        <v>0.11</v>
      </c>
      <c r="J198">
        <f>C198*(1+H198/100)</f>
        <v>3.3294726000000004E-2</v>
      </c>
      <c r="K198">
        <f>C198*(1+I198/100)</f>
        <v>3.3606927000000009E-2</v>
      </c>
    </row>
    <row r="199" spans="1:11" x14ac:dyDescent="0.3">
      <c r="A199" t="s">
        <v>45</v>
      </c>
      <c r="B199" t="s">
        <v>46</v>
      </c>
      <c r="C199">
        <v>0.99960000000000004</v>
      </c>
      <c r="D199">
        <v>0</v>
      </c>
      <c r="E199">
        <v>0.01</v>
      </c>
      <c r="F199">
        <v>0.11</v>
      </c>
      <c r="G199">
        <f>ABS(D199)</f>
        <v>0</v>
      </c>
      <c r="H199">
        <f>-ABS(E199)</f>
        <v>-0.01</v>
      </c>
      <c r="I199">
        <f>ABS(F199)</f>
        <v>0.11</v>
      </c>
      <c r="J199">
        <f>C199*(1+H199/100)</f>
        <v>0.99950004000000003</v>
      </c>
      <c r="K199">
        <f>C199*(1+I199/100)</f>
        <v>1.0006995600000002</v>
      </c>
    </row>
    <row r="200" spans="1:11" x14ac:dyDescent="0.3">
      <c r="A200" t="s">
        <v>133</v>
      </c>
      <c r="B200" t="s">
        <v>133</v>
      </c>
      <c r="C200">
        <v>0.74629999999999996</v>
      </c>
      <c r="D200">
        <v>0</v>
      </c>
      <c r="E200">
        <v>6.72</v>
      </c>
      <c r="F200">
        <v>4.72</v>
      </c>
      <c r="G200">
        <f>ABS(D200)</f>
        <v>0</v>
      </c>
      <c r="H200">
        <f>-ABS(E200)</f>
        <v>-6.72</v>
      </c>
      <c r="I200">
        <f>ABS(F200)</f>
        <v>4.72</v>
      </c>
      <c r="J200">
        <f>C200*(1+H200/100)</f>
        <v>0.69614863999999999</v>
      </c>
      <c r="K200">
        <f>C200*(1+I200/100)</f>
        <v>0.78152535999999995</v>
      </c>
    </row>
    <row r="201" spans="1:11" x14ac:dyDescent="0.3">
      <c r="A201" t="s">
        <v>177</v>
      </c>
      <c r="B201" t="s">
        <v>178</v>
      </c>
      <c r="C201">
        <v>0.39100000000000001</v>
      </c>
      <c r="D201">
        <v>0</v>
      </c>
      <c r="E201">
        <v>4.83</v>
      </c>
      <c r="F201">
        <v>9.91</v>
      </c>
      <c r="G201">
        <f>ABS(D201)</f>
        <v>0</v>
      </c>
      <c r="H201">
        <f>-ABS(E201)</f>
        <v>-4.83</v>
      </c>
      <c r="I201">
        <f>ABS(F201)</f>
        <v>9.91</v>
      </c>
      <c r="J201">
        <f>C201*(1+H201/100)</f>
        <v>0.37211470000000002</v>
      </c>
      <c r="K201">
        <f>C201*(1+I201/100)</f>
        <v>0.42974810000000002</v>
      </c>
    </row>
  </sheetData>
  <autoFilter ref="A1:K201" xr:uid="{00000000-0001-0000-0000-000000000000}">
    <filterColumn colId="2">
      <customFilters and="1">
        <customFilter operator="greaterThanOrEqual" val="0"/>
        <customFilter operator="lessThanOrEqual" val="5"/>
      </customFilters>
    </filterColumn>
    <sortState xmlns:xlrd2="http://schemas.microsoft.com/office/spreadsheetml/2017/richdata2" ref="A4:K201">
      <sortCondition descending="1" ref="G1:G2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056F-2EAE-4585-89EC-2F0691DA3A9A}">
  <dimension ref="A1:K11"/>
  <sheetViews>
    <sheetView topLeftCell="A9" workbookViewId="0">
      <selection activeCell="C1" sqref="C1:C1048576"/>
    </sheetView>
  </sheetViews>
  <sheetFormatPr defaultRowHeight="14.4" x14ac:dyDescent="0.3"/>
  <cols>
    <col min="1" max="1" width="14.44140625" bestFit="1" customWidth="1"/>
    <col min="2" max="2" width="9.5546875" bestFit="1" customWidth="1"/>
    <col min="3" max="4" width="14.109375" bestFit="1" customWidth="1"/>
    <col min="5" max="5" width="15.109375" bestFit="1" customWidth="1"/>
    <col min="6" max="6" width="14.109375" bestFit="1" customWidth="1"/>
    <col min="7" max="7" width="17.6640625" bestFit="1" customWidth="1"/>
    <col min="8" max="8" width="18.6640625" bestFit="1" customWidth="1"/>
    <col min="9" max="9" width="17.6640625" bestFit="1" customWidth="1"/>
    <col min="10" max="10" width="13.21875" style="3" bestFit="1" customWidth="1"/>
    <col min="11" max="11" width="12.21875" style="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392</v>
      </c>
      <c r="H1" s="1" t="s">
        <v>393</v>
      </c>
      <c r="I1" s="1" t="s">
        <v>394</v>
      </c>
      <c r="J1" s="2" t="s">
        <v>395</v>
      </c>
      <c r="K1" s="2" t="s">
        <v>396</v>
      </c>
    </row>
    <row r="2" spans="1:11" x14ac:dyDescent="0.3">
      <c r="A2" t="s">
        <v>227</v>
      </c>
      <c r="B2" t="s">
        <v>228</v>
      </c>
      <c r="C2">
        <v>0.56189999999999996</v>
      </c>
      <c r="D2">
        <v>10.86</v>
      </c>
      <c r="E2">
        <v>5.56</v>
      </c>
      <c r="F2">
        <v>19.059999999999999</v>
      </c>
      <c r="G2">
        <v>10.86</v>
      </c>
      <c r="H2">
        <v>-5.56</v>
      </c>
      <c r="I2">
        <v>19.059999999999999</v>
      </c>
      <c r="J2" s="3">
        <v>0.53065836</v>
      </c>
      <c r="K2" s="3">
        <v>0.66899813999999991</v>
      </c>
    </row>
    <row r="3" spans="1:11" x14ac:dyDescent="0.3">
      <c r="A3" t="s">
        <v>77</v>
      </c>
      <c r="B3" t="s">
        <v>78</v>
      </c>
      <c r="C3">
        <v>1.35</v>
      </c>
      <c r="D3">
        <v>10.66</v>
      </c>
      <c r="E3">
        <v>8.52</v>
      </c>
      <c r="F3">
        <v>6.84</v>
      </c>
      <c r="G3">
        <v>10.66</v>
      </c>
      <c r="H3">
        <v>-8.52</v>
      </c>
      <c r="I3">
        <v>6.84</v>
      </c>
      <c r="J3" s="3">
        <v>1.2349800000000002</v>
      </c>
      <c r="K3" s="3">
        <v>1.4423400000000002</v>
      </c>
    </row>
    <row r="4" spans="1:11" x14ac:dyDescent="0.3">
      <c r="A4" t="s">
        <v>280</v>
      </c>
      <c r="B4" t="s">
        <v>281</v>
      </c>
      <c r="C4">
        <v>6.2770000000000006E-2</v>
      </c>
      <c r="D4">
        <v>8.5</v>
      </c>
      <c r="E4">
        <v>21.45</v>
      </c>
      <c r="F4">
        <v>42.11</v>
      </c>
      <c r="G4">
        <v>8.5</v>
      </c>
      <c r="H4">
        <v>-21.45</v>
      </c>
      <c r="I4">
        <v>42.11</v>
      </c>
      <c r="J4" s="3">
        <v>4.9305835000000006E-2</v>
      </c>
      <c r="K4" s="3">
        <v>8.9202447000000004E-2</v>
      </c>
    </row>
    <row r="5" spans="1:11" x14ac:dyDescent="0.3">
      <c r="A5" t="s">
        <v>252</v>
      </c>
      <c r="B5" t="s">
        <v>253</v>
      </c>
      <c r="C5">
        <v>6.6439999999999999E-2</v>
      </c>
      <c r="D5">
        <v>5.19</v>
      </c>
      <c r="E5">
        <v>10.54</v>
      </c>
      <c r="F5">
        <v>13.31</v>
      </c>
      <c r="G5">
        <v>5.19</v>
      </c>
      <c r="H5">
        <v>-10.54</v>
      </c>
      <c r="I5">
        <v>13.31</v>
      </c>
      <c r="J5" s="3">
        <v>5.9437224000000004E-2</v>
      </c>
      <c r="K5" s="3">
        <v>7.5283164E-2</v>
      </c>
    </row>
    <row r="6" spans="1:11" x14ac:dyDescent="0.3">
      <c r="A6" t="s">
        <v>123</v>
      </c>
      <c r="B6" t="s">
        <v>124</v>
      </c>
      <c r="C6">
        <v>7.1209999999999996E-2</v>
      </c>
      <c r="D6">
        <v>3.71</v>
      </c>
      <c r="E6">
        <v>14.49</v>
      </c>
      <c r="F6">
        <v>36.36</v>
      </c>
      <c r="G6">
        <v>3.71</v>
      </c>
      <c r="H6">
        <v>-14.49</v>
      </c>
      <c r="I6">
        <v>36.36</v>
      </c>
      <c r="J6" s="3">
        <v>6.0891670999999994E-2</v>
      </c>
      <c r="K6" s="3">
        <v>9.7101955999999989E-2</v>
      </c>
    </row>
    <row r="7" spans="1:11" x14ac:dyDescent="0.3">
      <c r="A7" t="s">
        <v>372</v>
      </c>
      <c r="B7" t="s">
        <v>373</v>
      </c>
      <c r="C7">
        <v>8.0449999999999994E-2</v>
      </c>
      <c r="D7">
        <v>2.31</v>
      </c>
      <c r="E7">
        <v>4.66</v>
      </c>
      <c r="F7">
        <v>14.54</v>
      </c>
      <c r="G7">
        <v>2.31</v>
      </c>
      <c r="H7">
        <v>-4.66</v>
      </c>
      <c r="I7">
        <v>14.54</v>
      </c>
      <c r="J7" s="3">
        <v>7.6701029999999989E-2</v>
      </c>
      <c r="K7" s="3">
        <v>9.2147429999999989E-2</v>
      </c>
    </row>
    <row r="8" spans="1:11" x14ac:dyDescent="0.3">
      <c r="A8" t="s">
        <v>231</v>
      </c>
      <c r="B8" t="s">
        <v>232</v>
      </c>
      <c r="C8">
        <v>4.4260000000000001E-2</v>
      </c>
      <c r="D8">
        <v>1.82</v>
      </c>
      <c r="E8">
        <v>3.97</v>
      </c>
      <c r="F8">
        <v>0.35</v>
      </c>
      <c r="G8">
        <v>1.82</v>
      </c>
      <c r="H8">
        <v>-3.97</v>
      </c>
      <c r="I8">
        <v>0.35</v>
      </c>
      <c r="J8" s="3">
        <v>4.2502878000000001E-2</v>
      </c>
      <c r="K8" s="3">
        <v>4.4414910000000002E-2</v>
      </c>
    </row>
    <row r="9" spans="1:11" x14ac:dyDescent="0.3">
      <c r="A9" t="s">
        <v>201</v>
      </c>
      <c r="B9" t="s">
        <v>202</v>
      </c>
      <c r="C9">
        <v>0.84260000000000002</v>
      </c>
      <c r="D9">
        <v>1.73</v>
      </c>
      <c r="E9">
        <v>1.08</v>
      </c>
      <c r="F9">
        <v>15.46</v>
      </c>
      <c r="G9">
        <v>1.73</v>
      </c>
      <c r="H9">
        <v>-1.08</v>
      </c>
      <c r="I9">
        <v>15.46</v>
      </c>
      <c r="J9" s="3">
        <v>0.83349991999999995</v>
      </c>
      <c r="K9" s="3">
        <v>0.97286596000000003</v>
      </c>
    </row>
    <row r="10" spans="1:11" x14ac:dyDescent="0.3">
      <c r="A10" t="s">
        <v>320</v>
      </c>
      <c r="B10" t="s">
        <v>321</v>
      </c>
      <c r="C10">
        <v>0.1133</v>
      </c>
      <c r="D10">
        <v>1.59</v>
      </c>
      <c r="E10">
        <v>9.9499999999999993</v>
      </c>
      <c r="F10">
        <v>30.82</v>
      </c>
      <c r="G10">
        <v>1.59</v>
      </c>
      <c r="H10">
        <v>-9.9499999999999993</v>
      </c>
      <c r="I10">
        <v>30.82</v>
      </c>
      <c r="J10" s="3">
        <v>0.10202665</v>
      </c>
      <c r="K10" s="3">
        <v>0.14821906000000001</v>
      </c>
    </row>
    <row r="11" spans="1:11" x14ac:dyDescent="0.3">
      <c r="A11" t="s">
        <v>237</v>
      </c>
      <c r="B11" t="s">
        <v>238</v>
      </c>
      <c r="C11">
        <v>0.1802</v>
      </c>
      <c r="D11">
        <v>1.43</v>
      </c>
      <c r="E11">
        <v>2.92</v>
      </c>
      <c r="F11">
        <v>2.25</v>
      </c>
      <c r="G11">
        <v>1.43</v>
      </c>
      <c r="H11">
        <v>-2.92</v>
      </c>
      <c r="I11">
        <v>2.25</v>
      </c>
      <c r="J11" s="3">
        <v>0.17493816000000001</v>
      </c>
      <c r="K11" s="3">
        <v>0.18425449999999999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Historical Price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24B11DS012</cp:lastModifiedBy>
  <dcterms:created xsi:type="dcterms:W3CDTF">2026-07-14T09:27:38Z</dcterms:created>
  <dcterms:modified xsi:type="dcterms:W3CDTF">2026-07-14T09:58:10Z</dcterms:modified>
</cp:coreProperties>
</file>