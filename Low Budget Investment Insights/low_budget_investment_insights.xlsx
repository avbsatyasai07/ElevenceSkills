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elevence skills\data analytics\Low Budget Investment Insights\"/>
    </mc:Choice>
  </mc:AlternateContent>
  <xr:revisionPtr revIDLastSave="0" documentId="13_ncr:1_{C557D5AC-DC44-479C-BD2F-358E0ED0640D}" xr6:coauthVersionLast="47" xr6:coauthVersionMax="47" xr10:uidLastSave="{00000000-0000-0000-0000-000000000000}"/>
  <bookViews>
    <workbookView xWindow="-96" yWindow="0" windowWidth="14016" windowHeight="12336" activeTab="1" xr2:uid="{00000000-000D-0000-FFFF-FFFF00000000}"/>
  </bookViews>
  <sheets>
    <sheet name="Crypto Data" sheetId="1" r:id="rId1"/>
    <sheet name="Dashboard" sheetId="3" r:id="rId2"/>
  </sheets>
  <definedNames>
    <definedName name="Slicer_Price_Rang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3" l="1"/>
  <c r="C8" i="3"/>
  <c r="B6" i="3"/>
  <c r="C6" i="3" s="1"/>
  <c r="B8" i="3" l="1"/>
</calcChain>
</file>

<file path=xl/sharedStrings.xml><?xml version="1.0" encoding="utf-8"?>
<sst xmlns="http://schemas.openxmlformats.org/spreadsheetml/2006/main" count="675" uniqueCount="404">
  <si>
    <t>Coin Name</t>
  </si>
  <si>
    <t>Symbol</t>
  </si>
  <si>
    <t>Current Price</t>
  </si>
  <si>
    <t>1H Change %</t>
  </si>
  <si>
    <t>24H Change %</t>
  </si>
  <si>
    <t>7D Change %</t>
  </si>
  <si>
    <t>Average Downfall %</t>
  </si>
  <si>
    <t>Price Range</t>
  </si>
  <si>
    <t>Dai</t>
  </si>
  <si>
    <t>DAI</t>
  </si>
  <si>
    <t>$0.5-$5</t>
  </si>
  <si>
    <t>Ripple USD</t>
  </si>
  <si>
    <t>RLUSD</t>
  </si>
  <si>
    <t>World Liberty Financial USD</t>
  </si>
  <si>
    <t>USD1</t>
  </si>
  <si>
    <t>USDC</t>
  </si>
  <si>
    <t>Global Dollar</t>
  </si>
  <si>
    <t>USDG</t>
  </si>
  <si>
    <t>PayPal USD</t>
  </si>
  <si>
    <t>PYUSD</t>
  </si>
  <si>
    <t>United Stables</t>
  </si>
  <si>
    <t>U</t>
  </si>
  <si>
    <t>Tether</t>
  </si>
  <si>
    <t>USDT</t>
  </si>
  <si>
    <t>First Digital USD</t>
  </si>
  <si>
    <t>FDUSD</t>
  </si>
  <si>
    <t>TrueUSD</t>
  </si>
  <si>
    <t>TUSD</t>
  </si>
  <si>
    <t>Ethena USDe</t>
  </si>
  <si>
    <t>USDe</t>
  </si>
  <si>
    <t>USDD</t>
  </si>
  <si>
    <t>GateToken</t>
  </si>
  <si>
    <t>GT</t>
  </si>
  <si>
    <t>$5-$50</t>
  </si>
  <si>
    <t>YZY MONEY</t>
  </si>
  <si>
    <t>YZY</t>
  </si>
  <si>
    <t>$0.05-$0.5</t>
  </si>
  <si>
    <t>EURC</t>
  </si>
  <si>
    <t>Dash</t>
  </si>
  <si>
    <t>DASH</t>
  </si>
  <si>
    <t>Ethereum Classic</t>
  </si>
  <si>
    <t>ETC</t>
  </si>
  <si>
    <t>Filecoin</t>
  </si>
  <si>
    <t>FIL</t>
  </si>
  <si>
    <t>Grass</t>
  </si>
  <si>
    <t>GRASS</t>
  </si>
  <si>
    <t>OriginTrail</t>
  </si>
  <si>
    <t>TRAC</t>
  </si>
  <si>
    <t>Arweave</t>
  </si>
  <si>
    <t>AR</t>
  </si>
  <si>
    <t>XDC Network</t>
  </si>
  <si>
    <t>XDC</t>
  </si>
  <si>
    <t>$0-$0.05</t>
  </si>
  <si>
    <t>MX Token</t>
  </si>
  <si>
    <t>MX</t>
  </si>
  <si>
    <t>Kaspa</t>
  </si>
  <si>
    <t>KAS</t>
  </si>
  <si>
    <t>The Graph</t>
  </si>
  <si>
    <t>GRT</t>
  </si>
  <si>
    <t>Mantle</t>
  </si>
  <si>
    <t>MNT</t>
  </si>
  <si>
    <t>Stacks</t>
  </si>
  <si>
    <t>STX</t>
  </si>
  <si>
    <t>Cosmos</t>
  </si>
  <si>
    <t>ATOM</t>
  </si>
  <si>
    <t>AINFT</t>
  </si>
  <si>
    <t>NFT</t>
  </si>
  <si>
    <t>Sei</t>
  </si>
  <si>
    <t>SEI</t>
  </si>
  <si>
    <t>Cronos</t>
  </si>
  <si>
    <t>CRO</t>
  </si>
  <si>
    <t>Tether Gold</t>
  </si>
  <si>
    <t>XAUt</t>
  </si>
  <si>
    <t>&gt;$50</t>
  </si>
  <si>
    <t>IOTA</t>
  </si>
  <si>
    <t>Vision</t>
  </si>
  <si>
    <t>VSN</t>
  </si>
  <si>
    <t>Data Network</t>
  </si>
  <si>
    <t>DATA</t>
  </si>
  <si>
    <t>Flare</t>
  </si>
  <si>
    <t>FLR</t>
  </si>
  <si>
    <t>Axie Infinity</t>
  </si>
  <si>
    <t>AXS</t>
  </si>
  <si>
    <t>Bitget Token</t>
  </si>
  <si>
    <t>BGB</t>
  </si>
  <si>
    <t>Quant</t>
  </si>
  <si>
    <t>QNT</t>
  </si>
  <si>
    <t>Vaulta</t>
  </si>
  <si>
    <t>A</t>
  </si>
  <si>
    <t>XRP</t>
  </si>
  <si>
    <t>PAX Gold</t>
  </si>
  <si>
    <t>PAXG</t>
  </si>
  <si>
    <t>Avalanche</t>
  </si>
  <si>
    <t>AVAX</t>
  </si>
  <si>
    <t>The Sandbox</t>
  </si>
  <si>
    <t>SAND</t>
  </si>
  <si>
    <t>BitTorrent [New]</t>
  </si>
  <si>
    <t>BTT</t>
  </si>
  <si>
    <t>KuCoin Token</t>
  </si>
  <si>
    <t>KCS</t>
  </si>
  <si>
    <t>BNB</t>
  </si>
  <si>
    <t>AB</t>
  </si>
  <si>
    <t>Fluid</t>
  </si>
  <si>
    <t>FLUID</t>
  </si>
  <si>
    <t>Aster</t>
  </si>
  <si>
    <t>ASTER</t>
  </si>
  <si>
    <t>Raydium</t>
  </si>
  <si>
    <t>RAY</t>
  </si>
  <si>
    <t>Official Melania Meme</t>
  </si>
  <si>
    <t>MELANIA</t>
  </si>
  <si>
    <t>VeChain</t>
  </si>
  <si>
    <t>VET</t>
  </si>
  <si>
    <t>Dogecoin</t>
  </si>
  <si>
    <t>DOGE</t>
  </si>
  <si>
    <t>Fartcoin</t>
  </si>
  <si>
    <t>FARTCOIN</t>
  </si>
  <si>
    <t>Optimism</t>
  </si>
  <si>
    <t>OP</t>
  </si>
  <si>
    <t>Solana</t>
  </si>
  <si>
    <t>SOL</t>
  </si>
  <si>
    <t>PancakeSwap</t>
  </si>
  <si>
    <t>CAKE</t>
  </si>
  <si>
    <t>Nexo</t>
  </si>
  <si>
    <t>NEXO</t>
  </si>
  <si>
    <t>Shiba Inu</t>
  </si>
  <si>
    <t>SHIB</t>
  </si>
  <si>
    <t>Artificial Superintelligence Alliance</t>
  </si>
  <si>
    <t>FET</t>
  </si>
  <si>
    <t>Pudgy Penguins</t>
  </si>
  <si>
    <t>PENGU</t>
  </si>
  <si>
    <t>Neo</t>
  </si>
  <si>
    <t>NEO</t>
  </si>
  <si>
    <t>TRON</t>
  </si>
  <si>
    <t>TRX</t>
  </si>
  <si>
    <t>Litecoin</t>
  </si>
  <si>
    <t>LTC</t>
  </si>
  <si>
    <t>Yearn</t>
  </si>
  <si>
    <t>YFI</t>
  </si>
  <si>
    <t>Cheems (cheems.pet)</t>
  </si>
  <si>
    <t>CHEEMS</t>
  </si>
  <si>
    <t>Hyperliquid</t>
  </si>
  <si>
    <t>HYPE</t>
  </si>
  <si>
    <t>Polkadot</t>
  </si>
  <si>
    <t>DOT</t>
  </si>
  <si>
    <t>Golem</t>
  </si>
  <si>
    <t>GLM</t>
  </si>
  <si>
    <t>Kaia</t>
  </si>
  <si>
    <t>KAIA</t>
  </si>
  <si>
    <t>Gram (prev. Toncoin)</t>
  </si>
  <si>
    <t>GRAM</t>
  </si>
  <si>
    <t>Bitcoin</t>
  </si>
  <si>
    <t>BTC</t>
  </si>
  <si>
    <t>MemeCore</t>
  </si>
  <si>
    <t>M</t>
  </si>
  <si>
    <t>Bitcoin SV</t>
  </si>
  <si>
    <t>BSV</t>
  </si>
  <si>
    <t>UNUS SED LEO</t>
  </si>
  <si>
    <t>LEO</t>
  </si>
  <si>
    <t>OFFICIAL TRUMP</t>
  </si>
  <si>
    <t>TRUMP</t>
  </si>
  <si>
    <t>Monero</t>
  </si>
  <si>
    <t>XMR</t>
  </si>
  <si>
    <t>JUST</t>
  </si>
  <si>
    <t>JST</t>
  </si>
  <si>
    <t>World Liberty Financial</t>
  </si>
  <si>
    <t>WLFI</t>
  </si>
  <si>
    <t>Cardano</t>
  </si>
  <si>
    <t>ADA</t>
  </si>
  <si>
    <t>ZKsync</t>
  </si>
  <si>
    <t>ZK</t>
  </si>
  <si>
    <t>Sun [New]</t>
  </si>
  <si>
    <t>SUN</t>
  </si>
  <si>
    <t>Tezos</t>
  </si>
  <si>
    <t>XTZ</t>
  </si>
  <si>
    <t>Algorand</t>
  </si>
  <si>
    <t>ALGO</t>
  </si>
  <si>
    <t>Render</t>
  </si>
  <si>
    <t>RENDER</t>
  </si>
  <si>
    <t>Reserve Rights</t>
  </si>
  <si>
    <t>RSR</t>
  </si>
  <si>
    <t>JasmyCoin</t>
  </si>
  <si>
    <t>JASMY</t>
  </si>
  <si>
    <t>SPX6900</t>
  </si>
  <si>
    <t>SPX</t>
  </si>
  <si>
    <t>Chiliz</t>
  </si>
  <si>
    <t>CHZ</t>
  </si>
  <si>
    <t>Sui</t>
  </si>
  <si>
    <t>SUI</t>
  </si>
  <si>
    <t>Bittensor</t>
  </si>
  <si>
    <t>TAO</t>
  </si>
  <si>
    <t>OKB</t>
  </si>
  <si>
    <t>Aptos</t>
  </si>
  <si>
    <t>APT</t>
  </si>
  <si>
    <t>Internet Computer</t>
  </si>
  <si>
    <t>ICP</t>
  </si>
  <si>
    <t>Walrus</t>
  </si>
  <si>
    <t>WAL</t>
  </si>
  <si>
    <t>o1.exchange</t>
  </si>
  <si>
    <t>O</t>
  </si>
  <si>
    <t>SOON</t>
  </si>
  <si>
    <t>Akash Network</t>
  </si>
  <si>
    <t>AKT</t>
  </si>
  <si>
    <t>Decentraland</t>
  </si>
  <si>
    <t>MANA</t>
  </si>
  <si>
    <t>FLOKI</t>
  </si>
  <si>
    <t>Terra Classic</t>
  </si>
  <si>
    <t>LUNC</t>
  </si>
  <si>
    <t>Basic Attention Token</t>
  </si>
  <si>
    <t>BAT</t>
  </si>
  <si>
    <t>Synthetix</t>
  </si>
  <si>
    <t>SNX</t>
  </si>
  <si>
    <t>DoubleZero</t>
  </si>
  <si>
    <t>2Z</t>
  </si>
  <si>
    <t>1inch</t>
  </si>
  <si>
    <t>1INCH</t>
  </si>
  <si>
    <t>Zebec Network</t>
  </si>
  <si>
    <t>ZBCN</t>
  </si>
  <si>
    <t>Celestia</t>
  </si>
  <si>
    <t>TIA</t>
  </si>
  <si>
    <t>Arbitrum</t>
  </si>
  <si>
    <t>ARB</t>
  </si>
  <si>
    <t>Hedera</t>
  </si>
  <si>
    <t>HBAR</t>
  </si>
  <si>
    <t>EigenCloud</t>
  </si>
  <si>
    <t>EIGEN</t>
  </si>
  <si>
    <t>Ethereum Name Service</t>
  </si>
  <si>
    <t>ENS</t>
  </si>
  <si>
    <t>SafePal</t>
  </si>
  <si>
    <t>SFP</t>
  </si>
  <si>
    <t>GoМining</t>
  </si>
  <si>
    <t>GOMINING</t>
  </si>
  <si>
    <t>Stable</t>
  </si>
  <si>
    <t>STABLE</t>
  </si>
  <si>
    <t>Aethir</t>
  </si>
  <si>
    <t>ATH</t>
  </si>
  <si>
    <t>Morpho</t>
  </si>
  <si>
    <t>MORPHO</t>
  </si>
  <si>
    <t>Onyxcoin</t>
  </si>
  <si>
    <t>XCN</t>
  </si>
  <si>
    <t>Pepe</t>
  </si>
  <si>
    <t>PEPE</t>
  </si>
  <si>
    <t>Sentient</t>
  </si>
  <si>
    <t>SENT</t>
  </si>
  <si>
    <t>MultiversX</t>
  </si>
  <si>
    <t>EGLD</t>
  </si>
  <si>
    <t>Gala</t>
  </si>
  <si>
    <t>GALA</t>
  </si>
  <si>
    <t>Beam</t>
  </si>
  <si>
    <t>BEAM</t>
  </si>
  <si>
    <t>Worldcoin</t>
  </si>
  <si>
    <t>WLD</t>
  </si>
  <si>
    <t>Genius Terminal</t>
  </si>
  <si>
    <t>GENIUS</t>
  </si>
  <si>
    <t>Horizen</t>
  </si>
  <si>
    <t>ZEN</t>
  </si>
  <si>
    <t>Immutable</t>
  </si>
  <si>
    <t>IMX</t>
  </si>
  <si>
    <t>币安人生</t>
  </si>
  <si>
    <t>Stellar</t>
  </si>
  <si>
    <t>XLM</t>
  </si>
  <si>
    <t>Zama</t>
  </si>
  <si>
    <t>ZAMA</t>
  </si>
  <si>
    <t>NEAR Protocol</t>
  </si>
  <si>
    <t>NEAR</t>
  </si>
  <si>
    <t>Pendle</t>
  </si>
  <si>
    <t>PENDLE</t>
  </si>
  <si>
    <t>Pump.fun</t>
  </si>
  <si>
    <t>PUMP</t>
  </si>
  <si>
    <t>Compound</t>
  </si>
  <si>
    <t>COMP</t>
  </si>
  <si>
    <t>Starknet</t>
  </si>
  <si>
    <t>STRK</t>
  </si>
  <si>
    <t>dogwifhat</t>
  </si>
  <si>
    <t>WIF</t>
  </si>
  <si>
    <t>Jupiter</t>
  </si>
  <si>
    <t>JUP</t>
  </si>
  <si>
    <t>Midnight</t>
  </si>
  <si>
    <t>NIGHT</t>
  </si>
  <si>
    <t>Trust Wallet Token</t>
  </si>
  <si>
    <t>TWT</t>
  </si>
  <si>
    <t>Gnosis</t>
  </si>
  <si>
    <t>GNO</t>
  </si>
  <si>
    <t>DeepBook Protocol</t>
  </si>
  <si>
    <t>DEEP</t>
  </si>
  <si>
    <t>Monad</t>
  </si>
  <si>
    <t>MON</t>
  </si>
  <si>
    <t>Curve DAO Token</t>
  </si>
  <si>
    <t>CRV</t>
  </si>
  <si>
    <t>THORChain</t>
  </si>
  <si>
    <t>RUNE</t>
  </si>
  <si>
    <t>Uniswap</t>
  </si>
  <si>
    <t>UNI</t>
  </si>
  <si>
    <t>Theta Network</t>
  </si>
  <si>
    <t>THETA</t>
  </si>
  <si>
    <t>Polygon (prev. MATIC)</t>
  </si>
  <si>
    <t>POL</t>
  </si>
  <si>
    <t>Lighter</t>
  </si>
  <si>
    <t>LIT</t>
  </si>
  <si>
    <t>Conflux</t>
  </si>
  <si>
    <t>CFX</t>
  </si>
  <si>
    <t>Safe</t>
  </si>
  <si>
    <t>SAFE</t>
  </si>
  <si>
    <t>AWE</t>
  </si>
  <si>
    <t>Jito</t>
  </si>
  <si>
    <t>JTO</t>
  </si>
  <si>
    <t>Venice Token</t>
  </si>
  <si>
    <t>VVV</t>
  </si>
  <si>
    <t>Canton</t>
  </si>
  <si>
    <t>CC</t>
  </si>
  <si>
    <t>Pieverse</t>
  </si>
  <si>
    <t>PIEVERSE</t>
  </si>
  <si>
    <t>Meteora</t>
  </si>
  <si>
    <t>MET</t>
  </si>
  <si>
    <t>Aerodrome Finance</t>
  </si>
  <si>
    <t>AERO</t>
  </si>
  <si>
    <t>Aave</t>
  </si>
  <si>
    <t>AAVE</t>
  </si>
  <si>
    <t>Bitcoin Cash</t>
  </si>
  <si>
    <t>BCH</t>
  </si>
  <si>
    <t>Ethena</t>
  </si>
  <si>
    <t>ENA</t>
  </si>
  <si>
    <t>Allora</t>
  </si>
  <si>
    <t>ALLO</t>
  </si>
  <si>
    <t>Kite</t>
  </si>
  <si>
    <t>KITE</t>
  </si>
  <si>
    <t>Chainlink</t>
  </si>
  <si>
    <t>LINK</t>
  </si>
  <si>
    <t>Ethereum</t>
  </si>
  <si>
    <t>ETH</t>
  </si>
  <si>
    <t>Injective</t>
  </si>
  <si>
    <t>INJ</t>
  </si>
  <si>
    <t>Centrifuge</t>
  </si>
  <si>
    <t>CFG</t>
  </si>
  <si>
    <t>Kamino</t>
  </si>
  <si>
    <t>KMNO</t>
  </si>
  <si>
    <t>Convex Finance</t>
  </si>
  <si>
    <t>CVX</t>
  </si>
  <si>
    <t>CoW Protocol</t>
  </si>
  <si>
    <t>COW</t>
  </si>
  <si>
    <t>ApeCoin</t>
  </si>
  <si>
    <t>APE</t>
  </si>
  <si>
    <t>Bonk</t>
  </si>
  <si>
    <t>BONK</t>
  </si>
  <si>
    <t>dYdX</t>
  </si>
  <si>
    <t>DYDX</t>
  </si>
  <si>
    <t>KAITO</t>
  </si>
  <si>
    <t>Sky</t>
  </si>
  <si>
    <t>SKY</t>
  </si>
  <si>
    <t>Telcoin</t>
  </si>
  <si>
    <t>TEL</t>
  </si>
  <si>
    <t>edgeX</t>
  </si>
  <si>
    <t>EDGE</t>
  </si>
  <si>
    <t>Falcon Finance</t>
  </si>
  <si>
    <t>FF</t>
  </si>
  <si>
    <t>ether.fi</t>
  </si>
  <si>
    <t>ETHFI</t>
  </si>
  <si>
    <t>WEMIX</t>
  </si>
  <si>
    <t>Rootstock Infrastructure Framework</t>
  </si>
  <si>
    <t>RIF</t>
  </si>
  <si>
    <t>Plasma</t>
  </si>
  <si>
    <t>XPL</t>
  </si>
  <si>
    <t>LayerZero</t>
  </si>
  <si>
    <t>ZRO</t>
  </si>
  <si>
    <t>Re</t>
  </si>
  <si>
    <t>RE</t>
  </si>
  <si>
    <t>Audiera</t>
  </si>
  <si>
    <t>BEAT</t>
  </si>
  <si>
    <t>Tagger</t>
  </si>
  <si>
    <t>TAG</t>
  </si>
  <si>
    <t>Virtuals Protocol</t>
  </si>
  <si>
    <t>VIRTUAL</t>
  </si>
  <si>
    <t>Pyth Network</t>
  </si>
  <si>
    <t>PYTH</t>
  </si>
  <si>
    <t>Zcash</t>
  </si>
  <si>
    <t>ZEC</t>
  </si>
  <si>
    <t>Lido DAO</t>
  </si>
  <si>
    <t>LDO</t>
  </si>
  <si>
    <t>DeXe</t>
  </si>
  <si>
    <t>DEXE</t>
  </si>
  <si>
    <t>BUILDon</t>
  </si>
  <si>
    <t>B</t>
  </si>
  <si>
    <t>Decred</t>
  </si>
  <si>
    <t>DCR</t>
  </si>
  <si>
    <t>Maple Finance</t>
  </si>
  <si>
    <t>SYRUP</t>
  </si>
  <si>
    <t>Ondo</t>
  </si>
  <si>
    <t>ONDO</t>
  </si>
  <si>
    <t>Humanity</t>
  </si>
  <si>
    <t>H</t>
  </si>
  <si>
    <t>Velvet</t>
  </si>
  <si>
    <t>VELVET</t>
  </si>
  <si>
    <t>Pi</t>
  </si>
  <si>
    <t>PI</t>
  </si>
  <si>
    <t>eCash</t>
  </si>
  <si>
    <t>XEC</t>
  </si>
  <si>
    <t>Nexus</t>
  </si>
  <si>
    <t>NEX</t>
  </si>
  <si>
    <t>RaveDAO</t>
  </si>
  <si>
    <t>RAVE</t>
  </si>
  <si>
    <t>Row Labels</t>
  </si>
  <si>
    <t>Average Downfall  %</t>
  </si>
  <si>
    <t>Count of Coin Name</t>
  </si>
  <si>
    <t>Total Coins in Selected Range</t>
  </si>
  <si>
    <r>
      <rPr>
        <b/>
        <sz val="11"/>
        <color theme="0"/>
        <rFont val="Calibri"/>
        <family val="2"/>
        <scheme val="minor"/>
      </rPr>
      <t xml:space="preserve"> </t>
    </r>
    <r>
      <rPr>
        <b/>
        <sz val="18"/>
        <color theme="0"/>
        <rFont val="Calibri"/>
        <family val="2"/>
        <scheme val="minor"/>
      </rPr>
      <t>LOW BUDGAET INVESTMENT INSIGHTS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</si>
</sst>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top"/>
    </xf>
    <xf numFmtId="0" fontId="0" fillId="0" borderId="0" xfId="0" applyFill="1" applyAlignment="1">
      <alignment vertical="top"/>
    </xf>
    <xf numFmtId="0" fontId="0" fillId="0" borderId="0" xfId="0" applyAlignment="1">
      <alignment vertical="top"/>
    </xf>
    <xf numFmtId="0" fontId="2" fillId="0" borderId="0" xfId="0" applyFont="1" applyFill="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8" xfId="0" applyFill="1" applyBorder="1" applyAlignment="1">
      <alignment vertical="top"/>
    </xf>
    <xf numFmtId="0" fontId="0" fillId="2" borderId="0" xfId="0" applyFill="1" applyBorder="1" applyAlignment="1">
      <alignment vertical="top"/>
    </xf>
    <xf numFmtId="0" fontId="0" fillId="2" borderId="9" xfId="0" applyFill="1" applyBorder="1" applyAlignment="1">
      <alignment vertical="top"/>
    </xf>
    <xf numFmtId="0" fontId="0" fillId="2" borderId="10" xfId="0" applyFill="1" applyBorder="1" applyAlignment="1">
      <alignment vertical="top"/>
    </xf>
    <xf numFmtId="0" fontId="0" fillId="2" borderId="11" xfId="0" applyFill="1" applyBorder="1" applyAlignment="1">
      <alignment vertical="top"/>
    </xf>
    <xf numFmtId="0" fontId="0" fillId="2" borderId="12" xfId="0" applyFill="1" applyBorder="1" applyAlignment="1">
      <alignment vertical="top"/>
    </xf>
    <xf numFmtId="0" fontId="0" fillId="2" borderId="0" xfId="0" applyFill="1"/>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 fillId="2" borderId="1" xfId="0" applyFont="1" applyFill="1" applyBorder="1" applyAlignment="1">
      <alignment horizontal="center" vertical="top"/>
    </xf>
    <xf numFmtId="0" fontId="2"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175260</xdr:rowOff>
    </xdr:from>
    <xdr:to>
      <xdr:col>1</xdr:col>
      <xdr:colOff>0</xdr:colOff>
      <xdr:row>11</xdr:row>
      <xdr:rowOff>53340</xdr:rowOff>
    </xdr:to>
    <mc:AlternateContent xmlns:mc="http://schemas.openxmlformats.org/markup-compatibility/2006">
      <mc:Choice xmlns:a14="http://schemas.microsoft.com/office/drawing/2010/main" Requires="a14">
        <xdr:graphicFrame macro="">
          <xdr:nvGraphicFramePr>
            <xdr:cNvPr id="3" name="Price Range">
              <a:extLst>
                <a:ext uri="{FF2B5EF4-FFF2-40B4-BE49-F238E27FC236}">
                  <a16:creationId xmlns:a16="http://schemas.microsoft.com/office/drawing/2014/main" id="{5271F381-8725-4F0C-BB3A-64456AFFE703}"/>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0" y="358140"/>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V B SATYA SAI" refreshedDate="46219.631928125003" createdVersion="8" refreshedVersion="8" minRefreshableVersion="3" recordCount="200" xr:uid="{A655E092-EFB4-47AF-A370-25EDAAC85D5C}">
  <cacheSource type="worksheet">
    <worksheetSource name="CryptoData"/>
  </cacheSource>
  <cacheFields count="8">
    <cacheField name="Coin Name" numFmtId="0">
      <sharedItems count="200">
        <s v="Dai"/>
        <s v="Ripple USD"/>
        <s v="World Liberty Financial USD"/>
        <s v="USDC"/>
        <s v="Global Dollar"/>
        <s v="PayPal USD"/>
        <s v="United Stables"/>
        <s v="Tether"/>
        <s v="First Digital USD"/>
        <s v="TrueUSD"/>
        <s v="Ethena USDe"/>
        <s v="USDD"/>
        <s v="GateToken"/>
        <s v="YZY MONEY"/>
        <s v="EURC"/>
        <s v="Dash"/>
        <s v="Ethereum Classic"/>
        <s v="Filecoin"/>
        <s v="Grass"/>
        <s v="OriginTrail"/>
        <s v="Arweave"/>
        <s v="XDC Network"/>
        <s v="MX Token"/>
        <s v="Kaspa"/>
        <s v="The Graph"/>
        <s v="Mantle"/>
        <s v="Stacks"/>
        <s v="Cosmos"/>
        <s v="AINFT"/>
        <s v="Sei"/>
        <s v="Cronos"/>
        <s v="Tether Gold"/>
        <s v="IOTA"/>
        <s v="Vision"/>
        <s v="Data Network"/>
        <s v="Flare"/>
        <s v="Axie Infinity"/>
        <s v="Bitget Token"/>
        <s v="Quant"/>
        <s v="Vaulta"/>
        <s v="XRP"/>
        <s v="PAX Gold"/>
        <s v="Avalanche"/>
        <s v="The Sandbox"/>
        <s v="BitTorrent [New]"/>
        <s v="KuCoin Token"/>
        <s v="BNB"/>
        <s v="AB"/>
        <s v="Fluid"/>
        <s v="Aster"/>
        <s v="Raydium"/>
        <s v="Official Melania Meme"/>
        <s v="VeChain"/>
        <s v="Dogecoin"/>
        <s v="Fartcoin"/>
        <s v="Optimism"/>
        <s v="Solana"/>
        <s v="PancakeSwap"/>
        <s v="Nexo"/>
        <s v="Shiba Inu"/>
        <s v="Artificial Superintelligence Alliance"/>
        <s v="Pudgy Penguins"/>
        <s v="Neo"/>
        <s v="TRON"/>
        <s v="Litecoin"/>
        <s v="Yearn"/>
        <s v="Cheems (cheems.pet)"/>
        <s v="Hyperliquid"/>
        <s v="Polkadot"/>
        <s v="Golem"/>
        <s v="Kaia"/>
        <s v="Gram (prev. Toncoin)"/>
        <s v="Bitcoin"/>
        <s v="MemeCore"/>
        <s v="Bitcoin SV"/>
        <s v="UNUS SED LEO"/>
        <s v="OFFICIAL TRUMP"/>
        <s v="Monero"/>
        <s v="JUST"/>
        <s v="World Liberty Financial"/>
        <s v="Cardano"/>
        <s v="ZKsync"/>
        <s v="Sun [New]"/>
        <s v="Tezos"/>
        <s v="Algorand"/>
        <s v="Render"/>
        <s v="Reserve Rights"/>
        <s v="JasmyCoin"/>
        <s v="SPX6900"/>
        <s v="Chiliz"/>
        <s v="Sui"/>
        <s v="Bittensor"/>
        <s v="OKB"/>
        <s v="Aptos"/>
        <s v="Internet Computer"/>
        <s v="Walrus"/>
        <s v="o1.exchange"/>
        <s v="SOON"/>
        <s v="Akash Network"/>
        <s v="Decentraland"/>
        <s v="FLOKI"/>
        <s v="Terra Classic"/>
        <s v="Basic Attention Token"/>
        <s v="Synthetix"/>
        <s v="DoubleZero"/>
        <s v="1inch"/>
        <s v="Zebec Network"/>
        <s v="Celestia"/>
        <s v="Arbitrum"/>
        <s v="Hedera"/>
        <s v="EigenCloud"/>
        <s v="Ethereum Name Service"/>
        <s v="SafePal"/>
        <s v="GoМining"/>
        <s v="Stable"/>
        <s v="Aethir"/>
        <s v="Morpho"/>
        <s v="Onyxcoin"/>
        <s v="Pepe"/>
        <s v="Sentient"/>
        <s v="MultiversX"/>
        <s v="Gala"/>
        <s v="Beam"/>
        <s v="Worldcoin"/>
        <s v="Genius Terminal"/>
        <s v="Horizen"/>
        <s v="Immutable"/>
        <s v="币安人生"/>
        <s v="Stellar"/>
        <s v="Zama"/>
        <s v="NEAR Protocol"/>
        <s v="Pendle"/>
        <s v="Pump.fun"/>
        <s v="Compound"/>
        <s v="Starknet"/>
        <s v="dogwifhat"/>
        <s v="Jupiter"/>
        <s v="Midnight"/>
        <s v="Trust Wallet Token"/>
        <s v="Gnosis"/>
        <s v="DeepBook Protocol"/>
        <s v="Monad"/>
        <s v="Curve DAO Token"/>
        <s v="THORChain"/>
        <s v="Uniswap"/>
        <s v="Theta Network"/>
        <s v="Polygon (prev. MATIC)"/>
        <s v="Lighter"/>
        <s v="Conflux"/>
        <s v="Safe"/>
        <s v="AWE"/>
        <s v="Jito"/>
        <s v="Venice Token"/>
        <s v="Canton"/>
        <s v="Pieverse"/>
        <s v="Meteora"/>
        <s v="Aerodrome Finance"/>
        <s v="Aave"/>
        <s v="Bitcoin Cash"/>
        <s v="Ethena"/>
        <s v="Allora"/>
        <s v="Kite"/>
        <s v="Chainlink"/>
        <s v="Ethereum"/>
        <s v="Injective"/>
        <s v="Centrifuge"/>
        <s v="Kamino"/>
        <s v="Convex Finance"/>
        <s v="CoW Protocol"/>
        <s v="ApeCoin"/>
        <s v="Bonk"/>
        <s v="dYdX"/>
        <s v="KAITO"/>
        <s v="Sky"/>
        <s v="Telcoin"/>
        <s v="edgeX"/>
        <s v="Falcon Finance"/>
        <s v="ether.fi"/>
        <s v="WEMIX"/>
        <s v="Rootstock Infrastructure Framework"/>
        <s v="Plasma"/>
        <s v="LayerZero"/>
        <s v="Re"/>
        <s v="Audiera"/>
        <s v="Tagger"/>
        <s v="Virtuals Protocol"/>
        <s v="Pyth Network"/>
        <s v="Zcash"/>
        <s v="Lido DAO"/>
        <s v="DeXe"/>
        <s v="BUILDon"/>
        <s v="Decred"/>
        <s v="Maple Finance"/>
        <s v="Ondo"/>
        <s v="Humanity"/>
        <s v="Velvet"/>
        <s v="Pi"/>
        <s v="eCash"/>
        <s v="Nexus"/>
        <s v="RaveDAO"/>
      </sharedItems>
    </cacheField>
    <cacheField name="Symbol" numFmtId="0">
      <sharedItems/>
    </cacheField>
    <cacheField name="Current Price" numFmtId="0">
      <sharedItems containsSemiMixedTypes="0" containsString="0" containsNumber="1" minValue="2.1999999999999999E-5" maxValue="64715.34"/>
    </cacheField>
    <cacheField name="1H Change %" numFmtId="0">
      <sharedItems containsSemiMixedTypes="0" containsString="0" containsNumber="1" minValue="0" maxValue="7.89"/>
    </cacheField>
    <cacheField name="24H Change %" numFmtId="0">
      <sharedItems containsSemiMixedTypes="0" containsString="0" containsNumber="1" minValue="0" maxValue="23"/>
    </cacheField>
    <cacheField name="7D Change %" numFmtId="0">
      <sharedItems containsSemiMixedTypes="0" containsString="0" containsNumber="1" minValue="0" maxValue="39.380000000000003"/>
    </cacheField>
    <cacheField name="Average Downfall %" numFmtId="0">
      <sharedItems containsSemiMixedTypes="0" containsString="0" containsNumber="1" minValue="6.7000000000000002E-3" maxValue="16.239999999999998"/>
    </cacheField>
    <cacheField name="Price Range" numFmtId="0">
      <sharedItems count="5">
        <s v="$0.5-$5"/>
        <s v="$5-$50"/>
        <s v="$0.05-$0.5"/>
        <s v="$0-$0.05"/>
        <s v="&gt;$50"/>
      </sharedItems>
    </cacheField>
  </cacheFields>
  <extLst>
    <ext xmlns:x14="http://schemas.microsoft.com/office/spreadsheetml/2009/9/main" uri="{725AE2AE-9491-48be-B2B4-4EB974FC3084}">
      <x14:pivotCacheDefinition pivotCacheId="508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DAI"/>
    <n v="0.99950000000000006"/>
    <n v="0"/>
    <n v="0.01"/>
    <n v="0.01"/>
    <n v="6.7000000000000002E-3"/>
    <x v="0"/>
  </r>
  <r>
    <x v="1"/>
    <s v="RLUSD"/>
    <n v="0.99990000000000001"/>
    <n v="0"/>
    <n v="0.01"/>
    <n v="0.01"/>
    <n v="6.7000000000000002E-3"/>
    <x v="0"/>
  </r>
  <r>
    <x v="2"/>
    <s v="USD1"/>
    <n v="0.99870000000000003"/>
    <n v="0.01"/>
    <n v="0.01"/>
    <n v="0.01"/>
    <n v="0.01"/>
    <x v="0"/>
  </r>
  <r>
    <x v="3"/>
    <s v="USDC"/>
    <n v="0.99990000000000001"/>
    <n v="0.01"/>
    <n v="0.01"/>
    <n v="0.01"/>
    <n v="0.01"/>
    <x v="0"/>
  </r>
  <r>
    <x v="4"/>
    <s v="USDG"/>
    <n v="0.99980000000000002"/>
    <n v="0.02"/>
    <n v="0.01"/>
    <n v="0"/>
    <n v="0.01"/>
    <x v="0"/>
  </r>
  <r>
    <x v="5"/>
    <s v="PYUSD"/>
    <n v="0.99960000000000004"/>
    <n v="0.01"/>
    <n v="0.02"/>
    <n v="0.01"/>
    <n v="1.3299999999999999E-2"/>
    <x v="0"/>
  </r>
  <r>
    <x v="6"/>
    <s v="U"/>
    <n v="0.99950000000000006"/>
    <n v="0.02"/>
    <n v="0.01"/>
    <n v="0.01"/>
    <n v="1.3299999999999999E-2"/>
    <x v="0"/>
  </r>
  <r>
    <x v="7"/>
    <s v="USDT"/>
    <n v="0.99909999999999999"/>
    <n v="0.02"/>
    <n v="0.02"/>
    <n v="0.01"/>
    <n v="1.67E-2"/>
    <x v="0"/>
  </r>
  <r>
    <x v="8"/>
    <s v="FDUSD"/>
    <n v="0.99739999999999995"/>
    <n v="0"/>
    <n v="0"/>
    <n v="0.06"/>
    <n v="0.02"/>
    <x v="0"/>
  </r>
  <r>
    <x v="9"/>
    <s v="TUSD"/>
    <n v="0.99750000000000005"/>
    <n v="0"/>
    <n v="0.04"/>
    <n v="7.0000000000000007E-2"/>
    <n v="3.6700000000000003E-2"/>
    <x v="0"/>
  </r>
  <r>
    <x v="10"/>
    <s v="USDe"/>
    <n v="0.99970000000000003"/>
    <n v="0"/>
    <n v="0.02"/>
    <n v="0.12"/>
    <n v="4.6699999999999998E-2"/>
    <x v="0"/>
  </r>
  <r>
    <x v="11"/>
    <s v="USDD"/>
    <n v="0.99909999999999999"/>
    <n v="0.01"/>
    <n v="0.05"/>
    <n v="0.17"/>
    <n v="7.6700000000000004E-2"/>
    <x v="0"/>
  </r>
  <r>
    <x v="12"/>
    <s v="GT"/>
    <n v="6.73"/>
    <n v="0.03"/>
    <n v="0.09"/>
    <n v="0.27"/>
    <n v="0.13"/>
    <x v="1"/>
  </r>
  <r>
    <x v="13"/>
    <s v="YZY"/>
    <n v="0.29399999999999998"/>
    <n v="0.21"/>
    <n v="0.18"/>
    <n v="0.17"/>
    <n v="0.1867"/>
    <x v="2"/>
  </r>
  <r>
    <x v="14"/>
    <s v="EURC"/>
    <n v="1.1399999999999999"/>
    <n v="0.06"/>
    <n v="0.3"/>
    <n v="0.37"/>
    <n v="0.24329999999999999"/>
    <x v="0"/>
  </r>
  <r>
    <x v="15"/>
    <s v="DASH"/>
    <n v="34.29"/>
    <n v="0.39"/>
    <n v="0.34"/>
    <n v="0"/>
    <n v="0.24329999999999999"/>
    <x v="1"/>
  </r>
  <r>
    <x v="16"/>
    <s v="ETC"/>
    <n v="7.05"/>
    <n v="0.16"/>
    <n v="7.0000000000000007E-2"/>
    <n v="0.52"/>
    <n v="0.25"/>
    <x v="1"/>
  </r>
  <r>
    <x v="17"/>
    <s v="FIL"/>
    <n v="0.78290000000000004"/>
    <n v="0.32"/>
    <n v="0.03"/>
    <n v="0.5"/>
    <n v="0.2833"/>
    <x v="0"/>
  </r>
  <r>
    <x v="18"/>
    <s v="GRASS"/>
    <n v="0.39129999999999998"/>
    <n v="0.05"/>
    <n v="0.84"/>
    <n v="0.06"/>
    <n v="0.31669999999999998"/>
    <x v="2"/>
  </r>
  <r>
    <x v="19"/>
    <s v="TRAC"/>
    <n v="0.26300000000000001"/>
    <n v="0.45"/>
    <n v="0.19"/>
    <n v="0.35"/>
    <n v="0.33"/>
    <x v="2"/>
  </r>
  <r>
    <x v="20"/>
    <s v="AR"/>
    <n v="1.99"/>
    <n v="0.33"/>
    <n v="0.54"/>
    <n v="0.16"/>
    <n v="0.34329999999999999"/>
    <x v="0"/>
  </r>
  <r>
    <x v="21"/>
    <s v="XDC"/>
    <n v="2.742E-2"/>
    <n v="0.19"/>
    <n v="0.08"/>
    <n v="0.8"/>
    <n v="0.35670000000000002"/>
    <x v="3"/>
  </r>
  <r>
    <x v="22"/>
    <s v="MX"/>
    <n v="1.66"/>
    <n v="7.0000000000000007E-2"/>
    <n v="0.09"/>
    <n v="0.91"/>
    <n v="0.35670000000000002"/>
    <x v="0"/>
  </r>
  <r>
    <x v="23"/>
    <s v="KAS"/>
    <n v="2.8930000000000001E-2"/>
    <n v="0.5"/>
    <n v="0.04"/>
    <n v="0.56999999999999995"/>
    <n v="0.37"/>
    <x v="3"/>
  </r>
  <r>
    <x v="24"/>
    <s v="GRT"/>
    <n v="1.77E-2"/>
    <n v="0.4"/>
    <n v="0.44"/>
    <n v="0.28000000000000003"/>
    <n v="0.37330000000000002"/>
    <x v="3"/>
  </r>
  <r>
    <x v="25"/>
    <s v="MNT"/>
    <n v="0.4289"/>
    <n v="0.05"/>
    <n v="0.86"/>
    <n v="0.41"/>
    <n v="0.44"/>
    <x v="2"/>
  </r>
  <r>
    <x v="26"/>
    <s v="STX"/>
    <n v="0.16950000000000001"/>
    <n v="7.0000000000000007E-2"/>
    <n v="0.88"/>
    <n v="0.44"/>
    <n v="0.46329999999999999"/>
    <x v="2"/>
  </r>
  <r>
    <x v="27"/>
    <s v="ATOM"/>
    <n v="1.55"/>
    <n v="0.05"/>
    <n v="0.16"/>
    <n v="1.28"/>
    <n v="0.49669999999999997"/>
    <x v="0"/>
  </r>
  <r>
    <x v="28"/>
    <s v="NFT"/>
    <n v="6.2676999999999997E-2"/>
    <n v="0.21"/>
    <n v="1.06"/>
    <n v="0.25"/>
    <n v="0.50670000000000004"/>
    <x v="2"/>
  </r>
  <r>
    <x v="29"/>
    <s v="SEI"/>
    <n v="4.8439999999999997E-2"/>
    <n v="0.9"/>
    <n v="0"/>
    <n v="0.7"/>
    <n v="0.5333"/>
    <x v="3"/>
  </r>
  <r>
    <x v="30"/>
    <s v="CRO"/>
    <n v="5.5620000000000003E-2"/>
    <n v="0.08"/>
    <n v="7.0000000000000007E-2"/>
    <n v="1.5"/>
    <n v="0.55000000000000004"/>
    <x v="2"/>
  </r>
  <r>
    <x v="31"/>
    <s v="XAUt"/>
    <n v="4026.16"/>
    <n v="0.02"/>
    <n v="0.03"/>
    <n v="1.61"/>
    <n v="0.55330000000000001"/>
    <x v="4"/>
  </r>
  <r>
    <x v="32"/>
    <s v="IOTA"/>
    <n v="3.653E-2"/>
    <n v="0.44"/>
    <n v="0.24"/>
    <n v="0.99"/>
    <n v="0.55669999999999997"/>
    <x v="3"/>
  </r>
  <r>
    <x v="33"/>
    <s v="VSN"/>
    <n v="3.322E-2"/>
    <n v="0.15"/>
    <n v="1.17"/>
    <n v="0.36"/>
    <n v="0.56000000000000005"/>
    <x v="3"/>
  </r>
  <r>
    <x v="34"/>
    <s v="DATA"/>
    <n v="0.28149999999999997"/>
    <n v="0.09"/>
    <n v="1.18"/>
    <n v="0.48"/>
    <n v="0.58330000000000004"/>
    <x v="2"/>
  </r>
  <r>
    <x v="35"/>
    <s v="FLR"/>
    <n v="6.62E-3"/>
    <n v="0.28000000000000003"/>
    <n v="1.24"/>
    <n v="0.32"/>
    <n v="0.61329999999999996"/>
    <x v="3"/>
  </r>
  <r>
    <x v="36"/>
    <s v="AXS"/>
    <n v="1"/>
    <n v="0.46"/>
    <n v="1.2"/>
    <n v="0.19"/>
    <n v="0.61670000000000003"/>
    <x v="0"/>
  </r>
  <r>
    <x v="37"/>
    <s v="BGB"/>
    <n v="1.66"/>
    <n v="0.02"/>
    <n v="0.78"/>
    <n v="1.0900000000000001"/>
    <n v="0.63"/>
    <x v="0"/>
  </r>
  <r>
    <x v="38"/>
    <s v="QNT"/>
    <n v="65.180000000000007"/>
    <n v="0.19"/>
    <n v="0.72"/>
    <n v="0.98"/>
    <n v="0.63"/>
    <x v="4"/>
  </r>
  <r>
    <x v="39"/>
    <s v="A"/>
    <n v="7.5190000000000007E-2"/>
    <n v="0.4"/>
    <n v="1.1100000000000001"/>
    <n v="0.41"/>
    <n v="0.64"/>
    <x v="2"/>
  </r>
  <r>
    <x v="40"/>
    <s v="XRP"/>
    <n v="1.1100000000000001"/>
    <n v="0.09"/>
    <n v="0.46"/>
    <n v="1.37"/>
    <n v="0.64"/>
    <x v="0"/>
  </r>
  <r>
    <x v="41"/>
    <s v="PAXG"/>
    <n v="4021.43"/>
    <n v="0.03"/>
    <n v="0.09"/>
    <n v="1.81"/>
    <n v="0.64329999999999998"/>
    <x v="4"/>
  </r>
  <r>
    <x v="42"/>
    <s v="AVAX"/>
    <n v="6.67"/>
    <n v="0.6"/>
    <n v="0.37"/>
    <n v="1.01"/>
    <n v="0.66"/>
    <x v="1"/>
  </r>
  <r>
    <x v="43"/>
    <s v="SAND"/>
    <n v="4.8529999999999997E-2"/>
    <n v="0.03"/>
    <n v="0.31"/>
    <n v="1.71"/>
    <n v="0.68330000000000002"/>
    <x v="3"/>
  </r>
  <r>
    <x v="44"/>
    <s v="BTT"/>
    <n v="6.2723000000000001E-2"/>
    <n v="0.01"/>
    <n v="0.28000000000000003"/>
    <n v="1.83"/>
    <n v="0.70669999999999999"/>
    <x v="2"/>
  </r>
  <r>
    <x v="45"/>
    <s v="KCS"/>
    <n v="6.92"/>
    <n v="0.19"/>
    <n v="1.25"/>
    <n v="0.68"/>
    <n v="0.70669999999999999"/>
    <x v="1"/>
  </r>
  <r>
    <x v="46"/>
    <s v="BNB"/>
    <n v="582.59"/>
    <n v="0.17"/>
    <n v="0.42"/>
    <n v="1.53"/>
    <n v="0.70669999999999999"/>
    <x v="4"/>
  </r>
  <r>
    <x v="47"/>
    <s v="AB"/>
    <n v="9.8999999999999999E-4"/>
    <n v="0.03"/>
    <n v="2.04"/>
    <n v="0.05"/>
    <n v="0.70669999999999999"/>
    <x v="3"/>
  </r>
  <r>
    <x v="48"/>
    <s v="FLUID"/>
    <n v="1.02"/>
    <n v="0.56999999999999995"/>
    <n v="0.24"/>
    <n v="1.36"/>
    <n v="0.72330000000000005"/>
    <x v="0"/>
  </r>
  <r>
    <x v="49"/>
    <s v="ASTER"/>
    <n v="0.63009999999999999"/>
    <n v="0.1"/>
    <n v="0.95"/>
    <n v="1.1599999999999999"/>
    <n v="0.73670000000000002"/>
    <x v="0"/>
  </r>
  <r>
    <x v="50"/>
    <s v="RAY"/>
    <n v="0.69720000000000004"/>
    <n v="0.02"/>
    <n v="0.95"/>
    <n v="1.31"/>
    <n v="0.76"/>
    <x v="0"/>
  </r>
  <r>
    <x v="51"/>
    <s v="MELANIA"/>
    <n v="8.0640000000000003E-2"/>
    <n v="0.03"/>
    <n v="0.19"/>
    <n v="2.0699999999999998"/>
    <n v="0.76329999999999998"/>
    <x v="2"/>
  </r>
  <r>
    <x v="52"/>
    <s v="VET"/>
    <n v="4.8500000000000001E-3"/>
    <n v="0.15"/>
    <n v="0.27"/>
    <n v="1.9"/>
    <n v="0.77329999999999999"/>
    <x v="3"/>
  </r>
  <r>
    <x v="53"/>
    <s v="DOGE"/>
    <n v="7.4090000000000003E-2"/>
    <n v="0.09"/>
    <n v="0.56999999999999995"/>
    <n v="1.68"/>
    <n v="0.78"/>
    <x v="2"/>
  </r>
  <r>
    <x v="54"/>
    <s v="FARTCOIN"/>
    <n v="0.1477"/>
    <n v="0.23"/>
    <n v="1.64"/>
    <n v="0.51"/>
    <n v="0.79330000000000001"/>
    <x v="2"/>
  </r>
  <r>
    <x v="55"/>
    <s v="OP"/>
    <n v="0.1022"/>
    <n v="0.05"/>
    <n v="0.62"/>
    <n v="1.85"/>
    <n v="0.84"/>
    <x v="2"/>
  </r>
  <r>
    <x v="56"/>
    <s v="SOL"/>
    <n v="77.3"/>
    <n v="0.09"/>
    <n v="1.08"/>
    <n v="1.35"/>
    <n v="0.84"/>
    <x v="4"/>
  </r>
  <r>
    <x v="57"/>
    <s v="CAKE"/>
    <n v="1.4"/>
    <n v="0.27"/>
    <n v="1.46"/>
    <n v="0.84"/>
    <n v="0.85670000000000002"/>
    <x v="0"/>
  </r>
  <r>
    <x v="58"/>
    <s v="NEXO"/>
    <n v="0.75670000000000004"/>
    <n v="0.55000000000000004"/>
    <n v="0.2"/>
    <n v="1.83"/>
    <n v="0.86"/>
    <x v="0"/>
  </r>
  <r>
    <x v="59"/>
    <s v="SHIB"/>
    <n v="5.4219999999999997E-2"/>
    <n v="0.23"/>
    <n v="0.75"/>
    <n v="1.66"/>
    <n v="0.88"/>
    <x v="2"/>
  </r>
  <r>
    <x v="60"/>
    <s v="FET"/>
    <n v="0.16020000000000001"/>
    <n v="0.08"/>
    <n v="1.04"/>
    <n v="1.52"/>
    <n v="0.88"/>
    <x v="2"/>
  </r>
  <r>
    <x v="61"/>
    <s v="PENGU"/>
    <n v="6.1380000000000002E-3"/>
    <n v="0.47"/>
    <n v="0.71"/>
    <n v="1.46"/>
    <n v="0.88"/>
    <x v="3"/>
  </r>
  <r>
    <x v="62"/>
    <s v="NEO"/>
    <n v="1.98"/>
    <n v="0.28999999999999998"/>
    <n v="0.08"/>
    <n v="2.27"/>
    <n v="0.88"/>
    <x v="0"/>
  </r>
  <r>
    <x v="63"/>
    <s v="TRX"/>
    <n v="0.32440000000000002"/>
    <n v="0.12"/>
    <n v="0.78"/>
    <n v="1.89"/>
    <n v="0.93"/>
    <x v="2"/>
  </r>
  <r>
    <x v="64"/>
    <s v="LTC"/>
    <n v="45.14"/>
    <n v="0.32"/>
    <n v="0.28999999999999998"/>
    <n v="2.2000000000000002"/>
    <n v="0.93669999999999998"/>
    <x v="1"/>
  </r>
  <r>
    <x v="65"/>
    <s v="YFI"/>
    <n v="2150.6799999999998"/>
    <n v="0.12"/>
    <n v="1.41"/>
    <n v="1.3"/>
    <n v="0.94330000000000003"/>
    <x v="4"/>
  </r>
  <r>
    <x v="66"/>
    <s v="CHEEMS"/>
    <n v="6.4763000000000001E-2"/>
    <n v="0.69"/>
    <n v="1.1000000000000001"/>
    <n v="1.0900000000000001"/>
    <n v="0.96"/>
    <x v="2"/>
  </r>
  <r>
    <x v="67"/>
    <s v="HYPE"/>
    <n v="66.81"/>
    <n v="0.16"/>
    <n v="0.91"/>
    <n v="1.86"/>
    <n v="0.97670000000000001"/>
    <x v="4"/>
  </r>
  <r>
    <x v="68"/>
    <s v="DOT"/>
    <n v="0.84040000000000004"/>
    <n v="0.46"/>
    <n v="2.0299999999999998"/>
    <n v="0.57999999999999996"/>
    <n v="1.0233000000000001"/>
    <x v="0"/>
  </r>
  <r>
    <x v="69"/>
    <s v="GLM"/>
    <n v="0.1008"/>
    <n v="0.09"/>
    <n v="0.26"/>
    <n v="2.75"/>
    <n v="1.0333000000000001"/>
    <x v="2"/>
  </r>
  <r>
    <x v="70"/>
    <s v="KAIA"/>
    <n v="3.3770000000000001E-2"/>
    <n v="0.06"/>
    <n v="0.97"/>
    <n v="2.15"/>
    <n v="1.06"/>
    <x v="3"/>
  </r>
  <r>
    <x v="71"/>
    <s v="GRAM"/>
    <n v="1.57"/>
    <n v="0.04"/>
    <n v="2.42"/>
    <n v="0.77"/>
    <n v="1.0767"/>
    <x v="0"/>
  </r>
  <r>
    <x v="72"/>
    <s v="BTC"/>
    <n v="64715.34"/>
    <n v="0.23"/>
    <n v="0.12"/>
    <n v="2.89"/>
    <n v="1.08"/>
    <x v="4"/>
  </r>
  <r>
    <x v="73"/>
    <s v="M"/>
    <n v="1.23"/>
    <n v="0.39"/>
    <n v="1.24"/>
    <n v="1.63"/>
    <n v="1.0867"/>
    <x v="0"/>
  </r>
  <r>
    <x v="74"/>
    <s v="BSV"/>
    <n v="13.26"/>
    <n v="0.27"/>
    <n v="2.12"/>
    <n v="0.97"/>
    <n v="1.1200000000000001"/>
    <x v="1"/>
  </r>
  <r>
    <x v="75"/>
    <s v="LEO"/>
    <n v="9.8000000000000007"/>
    <n v="0"/>
    <n v="0.26"/>
    <n v="3.31"/>
    <n v="1.19"/>
    <x v="1"/>
  </r>
  <r>
    <x v="76"/>
    <s v="TRUMP"/>
    <n v="1.57"/>
    <n v="0.05"/>
    <n v="0.54"/>
    <n v="3.01"/>
    <n v="1.2"/>
    <x v="0"/>
  </r>
  <r>
    <x v="77"/>
    <s v="XMR"/>
    <n v="332.4"/>
    <n v="0.33"/>
    <n v="0.55000000000000004"/>
    <n v="2.72"/>
    <n v="1.2"/>
    <x v="4"/>
  </r>
  <r>
    <x v="78"/>
    <s v="JST"/>
    <n v="9.8460000000000006E-2"/>
    <n v="0.68"/>
    <n v="0.47"/>
    <n v="2.46"/>
    <n v="1.2033"/>
    <x v="2"/>
  </r>
  <r>
    <x v="79"/>
    <s v="WLFI"/>
    <n v="5.808E-2"/>
    <n v="0.62"/>
    <n v="2.15"/>
    <n v="0.88"/>
    <n v="1.2166999999999999"/>
    <x v="2"/>
  </r>
  <r>
    <x v="80"/>
    <s v="ADA"/>
    <n v="0.16400000000000001"/>
    <n v="0.28000000000000003"/>
    <n v="0.36"/>
    <n v="3.21"/>
    <n v="1.2833000000000001"/>
    <x v="2"/>
  </r>
  <r>
    <x v="81"/>
    <s v="ZK"/>
    <n v="1.025E-2"/>
    <n v="0.46"/>
    <n v="0.8"/>
    <n v="2.62"/>
    <n v="1.2932999999999999"/>
    <x v="3"/>
  </r>
  <r>
    <x v="82"/>
    <s v="SUN"/>
    <n v="1.8010000000000002E-2"/>
    <n v="0.06"/>
    <n v="0.84"/>
    <n v="3.02"/>
    <n v="1.3067"/>
    <x v="3"/>
  </r>
  <r>
    <x v="83"/>
    <s v="XTZ"/>
    <n v="0.23069999999999999"/>
    <n v="0.38"/>
    <n v="0.55000000000000004"/>
    <n v="3.05"/>
    <n v="1.3267"/>
    <x v="2"/>
  </r>
  <r>
    <x v="84"/>
    <s v="ALGO"/>
    <n v="8.3960000000000007E-2"/>
    <n v="0.32"/>
    <n v="1.42"/>
    <n v="2.2400000000000002"/>
    <n v="1.3267"/>
    <x v="2"/>
  </r>
  <r>
    <x v="85"/>
    <s v="RENDER"/>
    <n v="1.51"/>
    <n v="0.25"/>
    <n v="1.18"/>
    <n v="2.56"/>
    <n v="1.33"/>
    <x v="0"/>
  </r>
  <r>
    <x v="86"/>
    <s v="RSR"/>
    <n v="1.243E-3"/>
    <n v="0.05"/>
    <n v="1.1000000000000001"/>
    <n v="2.98"/>
    <n v="1.3767"/>
    <x v="3"/>
  </r>
  <r>
    <x v="87"/>
    <s v="JASMY"/>
    <n v="4.4710000000000001E-3"/>
    <n v="0.11"/>
    <n v="2.17"/>
    <n v="1.92"/>
    <n v="1.4"/>
    <x v="3"/>
  </r>
  <r>
    <x v="88"/>
    <s v="SPX"/>
    <n v="0.37419999999999998"/>
    <n v="0.35"/>
    <n v="3.62"/>
    <n v="0.27"/>
    <n v="1.4133"/>
    <x v="2"/>
  </r>
  <r>
    <x v="89"/>
    <s v="CHZ"/>
    <n v="1.686E-2"/>
    <n v="0.65"/>
    <n v="0.97"/>
    <n v="2.68"/>
    <n v="1.4333"/>
    <x v="3"/>
  </r>
  <r>
    <x v="90"/>
    <s v="SUI"/>
    <n v="0.75380000000000003"/>
    <n v="0.4"/>
    <n v="0.31"/>
    <n v="3.6"/>
    <n v="1.4367000000000001"/>
    <x v="0"/>
  </r>
  <r>
    <x v="91"/>
    <s v="TAO"/>
    <n v="200.2"/>
    <n v="0.45"/>
    <n v="0.83"/>
    <n v="3.13"/>
    <n v="1.47"/>
    <x v="4"/>
  </r>
  <r>
    <x v="92"/>
    <s v="OKB"/>
    <n v="82.05"/>
    <n v="0.1"/>
    <n v="0.59"/>
    <n v="3.8"/>
    <n v="1.4966999999999999"/>
    <x v="4"/>
  </r>
  <r>
    <x v="93"/>
    <s v="APT"/>
    <n v="0.61470000000000002"/>
    <n v="0.78"/>
    <n v="0.62"/>
    <n v="3.18"/>
    <n v="1.5266999999999999"/>
    <x v="0"/>
  </r>
  <r>
    <x v="94"/>
    <s v="ICP"/>
    <n v="2.17"/>
    <n v="0.37"/>
    <n v="1.24"/>
    <n v="2.98"/>
    <n v="1.53"/>
    <x v="0"/>
  </r>
  <r>
    <x v="95"/>
    <s v="WAL"/>
    <n v="3.1109999999999999E-2"/>
    <n v="0.51"/>
    <n v="0.23"/>
    <n v="3.85"/>
    <n v="1.53"/>
    <x v="3"/>
  </r>
  <r>
    <x v="96"/>
    <s v="O"/>
    <n v="0.55200000000000005"/>
    <n v="0.57999999999999996"/>
    <n v="2.61"/>
    <n v="1.45"/>
    <n v="1.5467"/>
    <x v="0"/>
  </r>
  <r>
    <x v="97"/>
    <s v="SOON"/>
    <n v="0.16400000000000001"/>
    <n v="0.21"/>
    <n v="1.59"/>
    <n v="2.94"/>
    <n v="1.58"/>
    <x v="2"/>
  </r>
  <r>
    <x v="98"/>
    <s v="AKT"/>
    <n v="0.57769999999999999"/>
    <n v="0.31"/>
    <n v="2.09"/>
    <n v="2.4"/>
    <n v="1.6"/>
    <x v="0"/>
  </r>
  <r>
    <x v="99"/>
    <s v="MANA"/>
    <n v="7.0480000000000001E-2"/>
    <n v="0.02"/>
    <n v="0.43"/>
    <n v="4.37"/>
    <n v="1.6067"/>
    <x v="2"/>
  </r>
  <r>
    <x v="100"/>
    <s v="FLOKI"/>
    <n v="2.1999999999999999E-5"/>
    <n v="0.22"/>
    <n v="1.18"/>
    <n v="3.53"/>
    <n v="1.6433"/>
    <x v="3"/>
  </r>
  <r>
    <x v="101"/>
    <s v="LUNC"/>
    <n v="6.0000000000000002E-5"/>
    <n v="0.02"/>
    <n v="1.0900000000000001"/>
    <n v="3.93"/>
    <n v="1.68"/>
    <x v="3"/>
  </r>
  <r>
    <x v="102"/>
    <s v="BAT"/>
    <n v="8.1100000000000005E-2"/>
    <n v="0.13"/>
    <n v="0.78"/>
    <n v="4.13"/>
    <n v="1.68"/>
    <x v="2"/>
  </r>
  <r>
    <x v="103"/>
    <s v="SNX"/>
    <n v="0.22770000000000001"/>
    <n v="0.3"/>
    <n v="3.02"/>
    <n v="1.76"/>
    <n v="1.6933"/>
    <x v="2"/>
  </r>
  <r>
    <x v="104"/>
    <s v="2Z"/>
    <n v="6.9330000000000003E-2"/>
    <n v="0.13"/>
    <n v="1.36"/>
    <n v="3.68"/>
    <n v="1.7233000000000001"/>
    <x v="2"/>
  </r>
  <r>
    <x v="105"/>
    <s v="1INCH"/>
    <n v="7.5039999999999996E-2"/>
    <n v="0.15"/>
    <n v="0.12"/>
    <n v="5.01"/>
    <n v="1.76"/>
    <x v="2"/>
  </r>
  <r>
    <x v="106"/>
    <s v="ZBCN"/>
    <n v="2.1549999999999998E-3"/>
    <n v="0.21"/>
    <n v="1.8"/>
    <n v="3.38"/>
    <n v="1.7967"/>
    <x v="3"/>
  </r>
  <r>
    <x v="107"/>
    <s v="TIA"/>
    <n v="0.40989999999999999"/>
    <n v="1.07"/>
    <n v="0.74"/>
    <n v="3.69"/>
    <n v="1.8332999999999999"/>
    <x v="2"/>
  </r>
  <r>
    <x v="108"/>
    <s v="ARB"/>
    <n v="8.7190000000000004E-2"/>
    <n v="0.69"/>
    <n v="2.94"/>
    <n v="1.91"/>
    <n v="1.8467"/>
    <x v="2"/>
  </r>
  <r>
    <x v="109"/>
    <s v="HBAR"/>
    <n v="6.7460000000000006E-2"/>
    <n v="0.16"/>
    <n v="0.51"/>
    <n v="4.87"/>
    <n v="1.8467"/>
    <x v="2"/>
  </r>
  <r>
    <x v="110"/>
    <s v="EIGEN"/>
    <n v="0.2409"/>
    <n v="0.82"/>
    <n v="2.25"/>
    <n v="2.5299999999999998"/>
    <n v="1.8667"/>
    <x v="2"/>
  </r>
  <r>
    <x v="111"/>
    <s v="ENS"/>
    <n v="4.3099999999999996"/>
    <n v="0.08"/>
    <n v="1.9"/>
    <n v="3.72"/>
    <n v="1.9"/>
    <x v="0"/>
  </r>
  <r>
    <x v="112"/>
    <s v="SFP"/>
    <n v="0.2225"/>
    <n v="0.28000000000000003"/>
    <n v="0.06"/>
    <n v="5.42"/>
    <n v="1.92"/>
    <x v="2"/>
  </r>
  <r>
    <x v="113"/>
    <s v="GOMINING"/>
    <n v="0.28239999999999998"/>
    <n v="0"/>
    <n v="0.77"/>
    <n v="5.17"/>
    <n v="1.98"/>
    <x v="2"/>
  </r>
  <r>
    <x v="114"/>
    <s v="STABLE"/>
    <n v="3.6810000000000002E-2"/>
    <n v="0.15"/>
    <n v="1.54"/>
    <n v="4.57"/>
    <n v="2.0867"/>
    <x v="3"/>
  </r>
  <r>
    <x v="115"/>
    <s v="ATH"/>
    <n v="4.3930000000000002E-3"/>
    <n v="0.88"/>
    <n v="3.86"/>
    <n v="1.62"/>
    <n v="2.12"/>
    <x v="3"/>
  </r>
  <r>
    <x v="116"/>
    <s v="MORPHO"/>
    <n v="2.12"/>
    <n v="0.04"/>
    <n v="3.14"/>
    <n v="3.41"/>
    <n v="2.1966999999999999"/>
    <x v="0"/>
  </r>
  <r>
    <x v="117"/>
    <s v="XCN"/>
    <n v="3.6679999999999998E-3"/>
    <n v="0.75"/>
    <n v="3.17"/>
    <n v="2.69"/>
    <n v="2.2033"/>
    <x v="3"/>
  </r>
  <r>
    <x v="118"/>
    <s v="PEPE"/>
    <n v="5.2763999999999998E-2"/>
    <n v="0.76"/>
    <n v="1.07"/>
    <n v="4.97"/>
    <n v="2.2667000000000002"/>
    <x v="2"/>
  </r>
  <r>
    <x v="119"/>
    <s v="SENT"/>
    <n v="1.342E-2"/>
    <n v="0.36"/>
    <n v="1.93"/>
    <n v="4.54"/>
    <n v="2.2766999999999999"/>
    <x v="3"/>
  </r>
  <r>
    <x v="120"/>
    <s v="EGLD"/>
    <n v="3.1"/>
    <n v="0.56999999999999995"/>
    <n v="4.74"/>
    <n v="1.55"/>
    <n v="2.2867000000000002"/>
    <x v="0"/>
  </r>
  <r>
    <x v="121"/>
    <s v="GALA"/>
    <n v="2.0040000000000001E-3"/>
    <n v="0.48"/>
    <n v="1.17"/>
    <n v="5.35"/>
    <n v="2.3332999999999999"/>
    <x v="3"/>
  </r>
  <r>
    <x v="122"/>
    <s v="BEAM"/>
    <n v="1.6440000000000001E-3"/>
    <n v="0.06"/>
    <n v="4.5599999999999996"/>
    <n v="2.5499999999999998"/>
    <n v="2.39"/>
    <x v="3"/>
  </r>
  <r>
    <x v="123"/>
    <s v="WLD"/>
    <n v="0.39829999999999999"/>
    <n v="0.97"/>
    <n v="3"/>
    <n v="3.31"/>
    <n v="2.4266999999999999"/>
    <x v="2"/>
  </r>
  <r>
    <x v="124"/>
    <s v="GENIUS"/>
    <n v="0.33789999999999998"/>
    <n v="0.87"/>
    <n v="2.87"/>
    <n v="3.67"/>
    <n v="2.4700000000000002"/>
    <x v="2"/>
  </r>
  <r>
    <x v="125"/>
    <s v="ZEN"/>
    <n v="4.32"/>
    <n v="0.84"/>
    <n v="1.86"/>
    <n v="4.72"/>
    <n v="2.4733000000000001"/>
    <x v="0"/>
  </r>
  <r>
    <x v="126"/>
    <s v="IMX"/>
    <n v="0.1305"/>
    <n v="0.22"/>
    <n v="0.66"/>
    <n v="6.59"/>
    <n v="2.4900000000000002"/>
    <x v="2"/>
  </r>
  <r>
    <x v="127"/>
    <s v="币安人生"/>
    <n v="0.73219999999999996"/>
    <n v="0.47"/>
    <n v="3.04"/>
    <n v="4.03"/>
    <n v="2.5133000000000001"/>
    <x v="0"/>
  </r>
  <r>
    <x v="128"/>
    <s v="XLM"/>
    <n v="0.18909999999999999"/>
    <n v="0.6"/>
    <n v="2.82"/>
    <n v="4.16"/>
    <n v="2.5266999999999999"/>
    <x v="2"/>
  </r>
  <r>
    <x v="129"/>
    <s v="ZAMA"/>
    <n v="3.5060000000000001E-2"/>
    <n v="7.0000000000000007E-2"/>
    <n v="2.9"/>
    <n v="4.7300000000000004"/>
    <n v="2.5667"/>
    <x v="3"/>
  </r>
  <r>
    <x v="130"/>
    <s v="NEAR"/>
    <n v="2.0499999999999998"/>
    <n v="0.02"/>
    <n v="1.1399999999999999"/>
    <n v="6.62"/>
    <n v="2.5933000000000002"/>
    <x v="0"/>
  </r>
  <r>
    <x v="131"/>
    <s v="PENDLE"/>
    <n v="1.61"/>
    <n v="7.0000000000000007E-2"/>
    <n v="4"/>
    <n v="3.71"/>
    <n v="2.5933000000000002"/>
    <x v="0"/>
  </r>
  <r>
    <x v="132"/>
    <s v="PUMP"/>
    <n v="1.5989999999999999E-3"/>
    <n v="0.53"/>
    <n v="2.33"/>
    <n v="5.01"/>
    <n v="2.6233"/>
    <x v="3"/>
  </r>
  <r>
    <x v="133"/>
    <s v="COMP"/>
    <n v="17.559999999999999"/>
    <n v="1.01"/>
    <n v="3.43"/>
    <n v="3.54"/>
    <n v="2.66"/>
    <x v="1"/>
  </r>
  <r>
    <x v="134"/>
    <s v="STRK"/>
    <n v="2.8729999999999999E-2"/>
    <n v="0.55000000000000004"/>
    <n v="0.4"/>
    <n v="7.03"/>
    <n v="2.66"/>
    <x v="3"/>
  </r>
  <r>
    <x v="135"/>
    <s v="WIF"/>
    <n v="0.1515"/>
    <n v="0.36"/>
    <n v="1.84"/>
    <n v="5.79"/>
    <n v="2.6633"/>
    <x v="2"/>
  </r>
  <r>
    <x v="136"/>
    <s v="JUP"/>
    <n v="0.20569999999999999"/>
    <n v="0.75"/>
    <n v="2.97"/>
    <n v="4.28"/>
    <n v="2.6667000000000001"/>
    <x v="2"/>
  </r>
  <r>
    <x v="137"/>
    <s v="NIGHT"/>
    <n v="2.9389999999999999E-2"/>
    <n v="0.11"/>
    <n v="0.25"/>
    <n v="8.0399999999999991"/>
    <n v="2.8"/>
    <x v="3"/>
  </r>
  <r>
    <x v="138"/>
    <s v="TWT"/>
    <n v="0.36230000000000001"/>
    <n v="0.1"/>
    <n v="2.02"/>
    <n v="6.32"/>
    <n v="2.8132999999999999"/>
    <x v="2"/>
  </r>
  <r>
    <x v="139"/>
    <s v="GNO"/>
    <n v="115.26"/>
    <n v="0.76"/>
    <n v="0.14000000000000001"/>
    <n v="7.76"/>
    <n v="2.8866999999999998"/>
    <x v="4"/>
  </r>
  <r>
    <x v="140"/>
    <s v="DEEP"/>
    <n v="1.7919999999999998E-2"/>
    <n v="0.78"/>
    <n v="4.7699999999999996"/>
    <n v="3.21"/>
    <n v="2.92"/>
    <x v="3"/>
  </r>
  <r>
    <x v="141"/>
    <s v="MON"/>
    <n v="2.23E-2"/>
    <n v="0.55000000000000004"/>
    <n v="2.8"/>
    <n v="5.49"/>
    <n v="2.9466999999999999"/>
    <x v="3"/>
  </r>
  <r>
    <x v="142"/>
    <s v="CRV"/>
    <n v="0.2157"/>
    <n v="0.73"/>
    <n v="2.31"/>
    <n v="5.82"/>
    <n v="2.9533"/>
    <x v="2"/>
  </r>
  <r>
    <x v="143"/>
    <s v="RUNE"/>
    <n v="0.42220000000000002"/>
    <n v="0.27"/>
    <n v="0.52"/>
    <n v="8.31"/>
    <n v="3.0333000000000001"/>
    <x v="2"/>
  </r>
  <r>
    <x v="144"/>
    <s v="UNI"/>
    <n v="3.68"/>
    <n v="0.32"/>
    <n v="0.82"/>
    <n v="7.98"/>
    <n v="3.04"/>
    <x v="0"/>
  </r>
  <r>
    <x v="145"/>
    <s v="THETA"/>
    <n v="0.14810000000000001"/>
    <n v="0.17"/>
    <n v="1.96"/>
    <n v="7.21"/>
    <n v="3.1133000000000002"/>
    <x v="2"/>
  </r>
  <r>
    <x v="146"/>
    <s v="POL"/>
    <n v="8.2879999999999995E-2"/>
    <n v="7.0000000000000007E-2"/>
    <n v="0.83"/>
    <n v="8.5299999999999994"/>
    <n v="3.1433"/>
    <x v="2"/>
  </r>
  <r>
    <x v="147"/>
    <s v="LIT"/>
    <n v="2.41"/>
    <n v="1.39"/>
    <n v="6.66"/>
    <n v="1.57"/>
    <n v="3.2067000000000001"/>
    <x v="0"/>
  </r>
  <r>
    <x v="148"/>
    <s v="CFX"/>
    <n v="4.5749999999999999E-2"/>
    <n v="0.16"/>
    <n v="1.94"/>
    <n v="7.63"/>
    <n v="3.2433000000000001"/>
    <x v="3"/>
  </r>
  <r>
    <x v="149"/>
    <s v="SAFE"/>
    <n v="0.10059999999999999"/>
    <n v="0.88"/>
    <n v="3.8"/>
    <n v="5.15"/>
    <n v="3.2766999999999999"/>
    <x v="2"/>
  </r>
  <r>
    <x v="150"/>
    <s v="AWE"/>
    <n v="5.8650000000000001E-2"/>
    <n v="0.95"/>
    <n v="5.87"/>
    <n v="3.04"/>
    <n v="3.2867000000000002"/>
    <x v="2"/>
  </r>
  <r>
    <x v="151"/>
    <s v="JTO"/>
    <n v="0.60560000000000003"/>
    <n v="0.98"/>
    <n v="3.56"/>
    <n v="5.44"/>
    <n v="3.3267000000000002"/>
    <x v="0"/>
  </r>
  <r>
    <x v="152"/>
    <s v="VVV"/>
    <n v="10.68"/>
    <n v="0.37"/>
    <n v="3.7"/>
    <n v="6.34"/>
    <n v="3.47"/>
    <x v="1"/>
  </r>
  <r>
    <x v="153"/>
    <s v="CC"/>
    <n v="0.1336"/>
    <n v="0.46"/>
    <n v="6.42"/>
    <n v="3.58"/>
    <n v="3.4866999999999999"/>
    <x v="2"/>
  </r>
  <r>
    <x v="154"/>
    <s v="PIEVERSE"/>
    <n v="0.66249999999999998"/>
    <n v="0.48"/>
    <n v="7.03"/>
    <n v="3.13"/>
    <n v="3.5467"/>
    <x v="0"/>
  </r>
  <r>
    <x v="155"/>
    <s v="MET"/>
    <n v="0.15909999999999999"/>
    <n v="0.53"/>
    <n v="6.81"/>
    <n v="3.43"/>
    <n v="3.59"/>
    <x v="2"/>
  </r>
  <r>
    <x v="156"/>
    <s v="AERO"/>
    <n v="0.50019999999999998"/>
    <n v="0.82"/>
    <n v="2.6"/>
    <n v="7.53"/>
    <n v="3.65"/>
    <x v="0"/>
  </r>
  <r>
    <x v="157"/>
    <s v="AAVE"/>
    <n v="95.62"/>
    <n v="0.66"/>
    <n v="2.6"/>
    <n v="8.09"/>
    <n v="3.7833000000000001"/>
    <x v="4"/>
  </r>
  <r>
    <x v="158"/>
    <s v="BCH"/>
    <n v="224.21"/>
    <n v="0.16"/>
    <n v="5.08"/>
    <n v="6.13"/>
    <n v="3.79"/>
    <x v="4"/>
  </r>
  <r>
    <x v="159"/>
    <s v="ENA"/>
    <n v="8.4559999999999996E-2"/>
    <n v="0.42"/>
    <n v="1.49"/>
    <n v="9.64"/>
    <n v="3.85"/>
    <x v="2"/>
  </r>
  <r>
    <x v="160"/>
    <s v="ALLO"/>
    <n v="0.3967"/>
    <n v="1.55"/>
    <n v="8.7799999999999994"/>
    <n v="1.33"/>
    <n v="3.8866999999999998"/>
    <x v="2"/>
  </r>
  <r>
    <x v="161"/>
    <s v="KITE"/>
    <n v="0.1235"/>
    <n v="0.27"/>
    <n v="1.33"/>
    <n v="10.06"/>
    <n v="3.8866999999999998"/>
    <x v="2"/>
  </r>
  <r>
    <x v="162"/>
    <s v="LINK"/>
    <n v="8.51"/>
    <n v="0.34"/>
    <n v="1.54"/>
    <n v="9.94"/>
    <n v="3.94"/>
    <x v="1"/>
  </r>
  <r>
    <x v="163"/>
    <s v="ETH"/>
    <n v="1920.71"/>
    <n v="0.16"/>
    <n v="2.34"/>
    <n v="9.5299999999999994"/>
    <n v="4.01"/>
    <x v="4"/>
  </r>
  <r>
    <x v="164"/>
    <s v="INJ"/>
    <n v="5.17"/>
    <n v="0.18"/>
    <n v="4.5999999999999996"/>
    <n v="7.68"/>
    <n v="4.1532999999999998"/>
    <x v="1"/>
  </r>
  <r>
    <x v="165"/>
    <s v="CFG"/>
    <n v="0.18210000000000001"/>
    <n v="1.31"/>
    <n v="5.18"/>
    <n v="5.98"/>
    <n v="4.1566999999999998"/>
    <x v="2"/>
  </r>
  <r>
    <x v="166"/>
    <s v="KMNO"/>
    <n v="1.8200000000000001E-2"/>
    <n v="0.28000000000000003"/>
    <n v="1.1000000000000001"/>
    <n v="11.15"/>
    <n v="4.1767000000000003"/>
    <x v="3"/>
  </r>
  <r>
    <x v="167"/>
    <s v="CVX"/>
    <n v="1.28"/>
    <n v="0.09"/>
    <n v="3.89"/>
    <n v="8.66"/>
    <n v="4.2133000000000003"/>
    <x v="0"/>
  </r>
  <r>
    <x v="168"/>
    <s v="COW"/>
    <n v="0.14960000000000001"/>
    <n v="1.61"/>
    <n v="2.59"/>
    <n v="8.67"/>
    <n v="4.29"/>
    <x v="2"/>
  </r>
  <r>
    <x v="169"/>
    <s v="APE"/>
    <n v="0.1507"/>
    <n v="0.48"/>
    <n v="1.76"/>
    <n v="10.71"/>
    <n v="4.3167"/>
    <x v="2"/>
  </r>
  <r>
    <x v="170"/>
    <s v="BONK"/>
    <n v="5.3643000000000003E-2"/>
    <n v="0.57999999999999996"/>
    <n v="3.79"/>
    <n v="8.8699999999999992"/>
    <n v="4.4132999999999996"/>
    <x v="2"/>
  </r>
  <r>
    <x v="171"/>
    <s v="DYDX"/>
    <n v="0.1206"/>
    <n v="0.53"/>
    <n v="0.19"/>
    <n v="12.63"/>
    <n v="4.45"/>
    <x v="2"/>
  </r>
  <r>
    <x v="172"/>
    <s v="KAITO"/>
    <n v="0.75280000000000002"/>
    <n v="0.26"/>
    <n v="3.56"/>
    <n v="10.15"/>
    <n v="4.6566999999999998"/>
    <x v="0"/>
  </r>
  <r>
    <x v="173"/>
    <s v="SKY"/>
    <n v="6.3219999999999998E-2"/>
    <n v="0.13"/>
    <n v="3.59"/>
    <n v="11.42"/>
    <n v="5.0467000000000004"/>
    <x v="2"/>
  </r>
  <r>
    <x v="174"/>
    <s v="TEL"/>
    <n v="2.0400000000000001E-3"/>
    <n v="0.31"/>
    <n v="3"/>
    <n v="12.13"/>
    <n v="5.1467000000000001"/>
    <x v="3"/>
  </r>
  <r>
    <x v="175"/>
    <s v="EDGE"/>
    <n v="0.4299"/>
    <n v="1.63"/>
    <n v="8.82"/>
    <n v="5.19"/>
    <n v="5.2133000000000003"/>
    <x v="2"/>
  </r>
  <r>
    <x v="176"/>
    <s v="FF"/>
    <n v="6.4229999999999995E-2"/>
    <n v="4.17"/>
    <n v="2.59"/>
    <n v="9.76"/>
    <n v="5.5067000000000004"/>
    <x v="2"/>
  </r>
  <r>
    <x v="177"/>
    <s v="ETHFI"/>
    <n v="0.43669999999999998"/>
    <n v="0.76"/>
    <n v="10.06"/>
    <n v="5.74"/>
    <n v="5.52"/>
    <x v="2"/>
  </r>
  <r>
    <x v="178"/>
    <s v="WEMIX"/>
    <n v="0.24030000000000001"/>
    <n v="0.5"/>
    <n v="1.82"/>
    <n v="14.72"/>
    <n v="5.68"/>
    <x v="2"/>
  </r>
  <r>
    <x v="179"/>
    <s v="RIF"/>
    <n v="0.13969999999999999"/>
    <n v="1.57"/>
    <n v="6.01"/>
    <n v="9.6199999999999992"/>
    <n v="5.7332999999999998"/>
    <x v="2"/>
  </r>
  <r>
    <x v="180"/>
    <s v="XPL"/>
    <n v="8.5559999999999997E-2"/>
    <n v="1.01"/>
    <n v="8.8800000000000008"/>
    <n v="8.6300000000000008"/>
    <n v="6.1733000000000002"/>
    <x v="2"/>
  </r>
  <r>
    <x v="181"/>
    <s v="ZRO"/>
    <n v="0.81679999999999997"/>
    <n v="0.01"/>
    <n v="6.64"/>
    <n v="11.87"/>
    <n v="6.1733000000000002"/>
    <x v="0"/>
  </r>
  <r>
    <x v="182"/>
    <s v="RE"/>
    <n v="0.48959999999999998"/>
    <n v="0.26"/>
    <n v="0.15"/>
    <n v="19.649999999999999"/>
    <n v="6.6867000000000001"/>
    <x v="2"/>
  </r>
  <r>
    <x v="183"/>
    <s v="BEAT"/>
    <n v="2.4500000000000002"/>
    <n v="1.06"/>
    <n v="8.18"/>
    <n v="11.12"/>
    <n v="6.7866999999999997"/>
    <x v="0"/>
  </r>
  <r>
    <x v="184"/>
    <s v="TAG"/>
    <n v="8.3799999999999999E-4"/>
    <n v="0.72"/>
    <n v="3.43"/>
    <n v="16.86"/>
    <n v="7.0033000000000003"/>
    <x v="3"/>
  </r>
  <r>
    <x v="185"/>
    <s v="VIRTUAL"/>
    <n v="0.62119999999999997"/>
    <n v="0.01"/>
    <n v="3.79"/>
    <n v="17.91"/>
    <n v="7.2366999999999999"/>
    <x v="0"/>
  </r>
  <r>
    <x v="186"/>
    <s v="PYTH"/>
    <n v="5.0709999999999998E-2"/>
    <n v="1.29"/>
    <n v="4.0999999999999996"/>
    <n v="18.170000000000002"/>
    <n v="7.8532999999999999"/>
    <x v="2"/>
  </r>
  <r>
    <x v="187"/>
    <s v="ZEC"/>
    <n v="568.07000000000005"/>
    <n v="0.33"/>
    <n v="2.2400000000000002"/>
    <n v="21.91"/>
    <n v="8.16"/>
    <x v="4"/>
  </r>
  <r>
    <x v="188"/>
    <s v="LDO"/>
    <n v="0.37140000000000001"/>
    <n v="0.48"/>
    <n v="11.52"/>
    <n v="15.93"/>
    <n v="9.31"/>
    <x v="2"/>
  </r>
  <r>
    <x v="189"/>
    <s v="DEXE"/>
    <n v="36.130000000000003"/>
    <n v="0.62"/>
    <n v="3.07"/>
    <n v="25.01"/>
    <n v="9.5667000000000009"/>
    <x v="1"/>
  </r>
  <r>
    <x v="190"/>
    <s v="B"/>
    <n v="0.1118"/>
    <n v="0.64"/>
    <n v="3.44"/>
    <n v="25.54"/>
    <n v="9.8733000000000004"/>
    <x v="2"/>
  </r>
  <r>
    <x v="191"/>
    <s v="DCR"/>
    <n v="13.76"/>
    <n v="0.01"/>
    <n v="6.32"/>
    <n v="25.92"/>
    <n v="10.75"/>
    <x v="1"/>
  </r>
  <r>
    <x v="192"/>
    <s v="SYRUP"/>
    <n v="0.1993"/>
    <n v="1.36"/>
    <n v="4.51"/>
    <n v="26.5"/>
    <n v="10.79"/>
    <x v="2"/>
  </r>
  <r>
    <x v="193"/>
    <s v="ONDO"/>
    <n v="0.37230000000000002"/>
    <n v="0.24"/>
    <n v="15.95"/>
    <n v="16.64"/>
    <n v="10.943300000000001"/>
    <x v="2"/>
  </r>
  <r>
    <x v="194"/>
    <s v="H"/>
    <n v="5.756E-2"/>
    <n v="0.14000000000000001"/>
    <n v="15.94"/>
    <n v="16.98"/>
    <n v="11.02"/>
    <x v="2"/>
  </r>
  <r>
    <x v="195"/>
    <s v="VELVET"/>
    <n v="0.50290000000000001"/>
    <n v="1.81"/>
    <n v="3.29"/>
    <n v="28.19"/>
    <n v="11.0967"/>
    <x v="0"/>
  </r>
  <r>
    <x v="196"/>
    <s v="PI"/>
    <n v="7.6060000000000003E-2"/>
    <n v="1.39"/>
    <n v="10.14"/>
    <n v="25.22"/>
    <n v="12.25"/>
    <x v="2"/>
  </r>
  <r>
    <x v="197"/>
    <s v="XEC"/>
    <n v="5.6708000000000001E-2"/>
    <n v="0.56999999999999995"/>
    <n v="6.98"/>
    <n v="30.31"/>
    <n v="12.62"/>
    <x v="2"/>
  </r>
  <r>
    <x v="198"/>
    <s v="NEX"/>
    <n v="5.1785999999999999E-2"/>
    <n v="0.06"/>
    <n v="0.1"/>
    <n v="39.380000000000003"/>
    <n v="13.18"/>
    <x v="2"/>
  </r>
  <r>
    <x v="199"/>
    <s v="RAVE"/>
    <n v="0.3221"/>
    <n v="7.89"/>
    <n v="23"/>
    <n v="17.829999999999998"/>
    <n v="16.23999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1EAFF1-A302-4117-9A29-951AE50A21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5:AC6" firstHeaderRow="1" firstDataRow="1" firstDataCol="0" rowPageCount="1" colPageCount="1"/>
  <pivotFields count="8">
    <pivotField dataField="1" showAll="0"/>
    <pivotField showAll="0"/>
    <pivotField showAll="0"/>
    <pivotField showAll="0"/>
    <pivotField showAll="0"/>
    <pivotField showAll="0"/>
    <pivotField showAll="0"/>
    <pivotField axis="axisPage" showAll="0">
      <items count="6">
        <item x="3"/>
        <item x="2"/>
        <item x="0"/>
        <item x="1"/>
        <item x="4"/>
        <item t="default"/>
      </items>
    </pivotField>
  </pivotFields>
  <rowItems count="1">
    <i/>
  </rowItems>
  <colItems count="1">
    <i/>
  </colItems>
  <pageFields count="1">
    <pageField fld="7" item="2" hier="-1"/>
  </pageFields>
  <dataFields count="1">
    <dataField name="Count of Coin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F720D1-C2F2-46A4-825A-37978B87BC1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Z5:AA59" firstHeaderRow="1" firstDataRow="1" firstDataCol="1" rowPageCount="1" colPageCount="1"/>
  <pivotFields count="8">
    <pivotField axis="axisRow" showAll="0" sortType="ascending">
      <items count="201">
        <item x="105"/>
        <item x="157"/>
        <item x="47"/>
        <item x="156"/>
        <item x="115"/>
        <item x="28"/>
        <item x="98"/>
        <item x="84"/>
        <item x="160"/>
        <item x="169"/>
        <item x="93"/>
        <item x="108"/>
        <item x="60"/>
        <item x="20"/>
        <item x="49"/>
        <item x="183"/>
        <item x="42"/>
        <item x="150"/>
        <item x="36"/>
        <item x="102"/>
        <item x="122"/>
        <item x="72"/>
        <item x="158"/>
        <item x="74"/>
        <item x="37"/>
        <item x="91"/>
        <item x="44"/>
        <item x="46"/>
        <item x="170"/>
        <item x="190"/>
        <item x="153"/>
        <item x="80"/>
        <item x="107"/>
        <item x="165"/>
        <item x="162"/>
        <item x="66"/>
        <item x="89"/>
        <item x="133"/>
        <item x="148"/>
        <item x="167"/>
        <item x="27"/>
        <item x="168"/>
        <item x="30"/>
        <item x="142"/>
        <item x="0"/>
        <item x="15"/>
        <item x="34"/>
        <item x="99"/>
        <item x="191"/>
        <item x="140"/>
        <item x="189"/>
        <item x="53"/>
        <item x="135"/>
        <item x="104"/>
        <item x="171"/>
        <item x="197"/>
        <item x="175"/>
        <item x="110"/>
        <item x="159"/>
        <item x="10"/>
        <item x="177"/>
        <item x="163"/>
        <item x="16"/>
        <item x="111"/>
        <item x="14"/>
        <item x="176"/>
        <item x="54"/>
        <item x="17"/>
        <item x="8"/>
        <item x="35"/>
        <item x="100"/>
        <item x="48"/>
        <item x="121"/>
        <item x="12"/>
        <item x="124"/>
        <item x="4"/>
        <item x="139"/>
        <item x="69"/>
        <item x="113"/>
        <item x="71"/>
        <item x="18"/>
        <item x="109"/>
        <item x="125"/>
        <item x="194"/>
        <item x="67"/>
        <item x="126"/>
        <item x="164"/>
        <item x="94"/>
        <item x="32"/>
        <item x="87"/>
        <item x="151"/>
        <item x="136"/>
        <item x="78"/>
        <item x="70"/>
        <item x="172"/>
        <item x="166"/>
        <item x="23"/>
        <item x="161"/>
        <item x="45"/>
        <item x="181"/>
        <item x="188"/>
        <item x="147"/>
        <item x="64"/>
        <item x="25"/>
        <item x="192"/>
        <item x="73"/>
        <item x="155"/>
        <item x="137"/>
        <item x="141"/>
        <item x="77"/>
        <item x="116"/>
        <item x="120"/>
        <item x="22"/>
        <item x="130"/>
        <item x="62"/>
        <item x="58"/>
        <item x="198"/>
        <item x="96"/>
        <item x="51"/>
        <item x="76"/>
        <item x="92"/>
        <item x="193"/>
        <item x="117"/>
        <item x="55"/>
        <item x="19"/>
        <item x="57"/>
        <item x="41"/>
        <item x="5"/>
        <item x="131"/>
        <item x="118"/>
        <item x="196"/>
        <item x="154"/>
        <item x="180"/>
        <item x="68"/>
        <item x="146"/>
        <item x="61"/>
        <item x="132"/>
        <item x="186"/>
        <item x="38"/>
        <item x="199"/>
        <item x="50"/>
        <item x="182"/>
        <item x="85"/>
        <item x="86"/>
        <item x="1"/>
        <item x="179"/>
        <item x="149"/>
        <item x="112"/>
        <item x="29"/>
        <item x="119"/>
        <item x="59"/>
        <item x="173"/>
        <item x="56"/>
        <item x="97"/>
        <item x="88"/>
        <item x="114"/>
        <item x="26"/>
        <item x="134"/>
        <item x="128"/>
        <item x="90"/>
        <item x="82"/>
        <item x="103"/>
        <item x="184"/>
        <item x="174"/>
        <item x="101"/>
        <item x="7"/>
        <item x="31"/>
        <item x="83"/>
        <item x="24"/>
        <item x="43"/>
        <item x="145"/>
        <item x="143"/>
        <item x="63"/>
        <item x="9"/>
        <item x="138"/>
        <item x="144"/>
        <item x="6"/>
        <item x="75"/>
        <item x="3"/>
        <item x="11"/>
        <item x="39"/>
        <item x="52"/>
        <item x="195"/>
        <item x="152"/>
        <item x="185"/>
        <item x="33"/>
        <item x="95"/>
        <item x="178"/>
        <item x="79"/>
        <item x="2"/>
        <item x="123"/>
        <item x="21"/>
        <item x="40"/>
        <item x="65"/>
        <item x="13"/>
        <item x="129"/>
        <item x="187"/>
        <item x="106"/>
        <item x="81"/>
        <item x="1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axis="axisPage" showAll="0">
      <items count="6">
        <item x="3"/>
        <item x="2"/>
        <item x="0"/>
        <item x="1"/>
        <item x="4"/>
        <item t="default"/>
      </items>
    </pivotField>
  </pivotFields>
  <rowFields count="1">
    <field x="0"/>
  </rowFields>
  <rowItems count="54">
    <i>
      <x v="144"/>
    </i>
    <i>
      <x v="44"/>
    </i>
    <i>
      <x v="189"/>
    </i>
    <i>
      <x v="75"/>
    </i>
    <i>
      <x v="178"/>
    </i>
    <i>
      <x v="176"/>
    </i>
    <i>
      <x v="127"/>
    </i>
    <i>
      <x v="165"/>
    </i>
    <i>
      <x v="68"/>
    </i>
    <i>
      <x v="173"/>
    </i>
    <i>
      <x v="59"/>
    </i>
    <i>
      <x v="179"/>
    </i>
    <i>
      <x v="64"/>
    </i>
    <i>
      <x v="67"/>
    </i>
    <i>
      <x v="13"/>
    </i>
    <i>
      <x v="112"/>
    </i>
    <i>
      <x v="40"/>
    </i>
    <i>
      <x v="18"/>
    </i>
    <i>
      <x v="24"/>
    </i>
    <i>
      <x v="192"/>
    </i>
    <i>
      <x v="71"/>
    </i>
    <i>
      <x v="14"/>
    </i>
    <i>
      <x v="140"/>
    </i>
    <i>
      <x v="125"/>
    </i>
    <i>
      <x v="115"/>
    </i>
    <i>
      <x v="114"/>
    </i>
    <i>
      <x v="133"/>
    </i>
    <i>
      <x v="79"/>
    </i>
    <i>
      <x v="105"/>
    </i>
    <i>
      <x v="119"/>
    </i>
    <i>
      <x v="142"/>
    </i>
    <i>
      <x v="159"/>
    </i>
    <i>
      <x v="10"/>
    </i>
    <i>
      <x v="87"/>
    </i>
    <i>
      <x v="117"/>
    </i>
    <i>
      <x v="6"/>
    </i>
    <i>
      <x v="63"/>
    </i>
    <i>
      <x v="110"/>
    </i>
    <i>
      <x v="111"/>
    </i>
    <i>
      <x v="82"/>
    </i>
    <i>
      <x v="199"/>
    </i>
    <i>
      <x v="113"/>
    </i>
    <i>
      <x v="128"/>
    </i>
    <i>
      <x v="175"/>
    </i>
    <i>
      <x v="101"/>
    </i>
    <i>
      <x v="90"/>
    </i>
    <i>
      <x v="131"/>
    </i>
    <i>
      <x v="3"/>
    </i>
    <i>
      <x v="39"/>
    </i>
    <i>
      <x v="94"/>
    </i>
    <i>
      <x v="99"/>
    </i>
    <i>
      <x v="15"/>
    </i>
    <i>
      <x v="184"/>
    </i>
    <i>
      <x v="182"/>
    </i>
  </rowItems>
  <colItems count="1">
    <i/>
  </colItems>
  <pageFields count="1">
    <pageField fld="7" item="2" hier="-1"/>
  </pageFields>
  <dataFields count="1">
    <dataField name="Average Downfall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120DD823-DB94-41A2-B7E7-36C940038E25}" sourceName="Price Range">
  <pivotTables>
    <pivotTable tabId="3" name="PivotTable1"/>
    <pivotTable tabId="3" name="PivotTable2"/>
  </pivotTables>
  <data>
    <tabular pivotCacheId="508266">
      <items count="5">
        <i x="3"/>
        <i x="2"/>
        <i x="0" s="1"/>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B2013A71-3050-442E-9FD5-0317A5853CF9}" cache="Slicer_Price_Range" caption="Price Range"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2378E-3AC9-40A0-A2E2-9BBC1D54F2D5}" name="CryptoData" displayName="CryptoData" ref="A1:H201" totalsRowShown="0">
  <autoFilter ref="A1:H201" xr:uid="{1B12378E-3AC9-40A0-A2E2-9BBC1D54F2D5}"/>
  <tableColumns count="8">
    <tableColumn id="1" xr3:uid="{B17D0809-DC8D-4980-982B-CE564C6DB8A6}" name="Coin Name"/>
    <tableColumn id="2" xr3:uid="{DE3DA7DC-7B1A-470A-8A83-8954F05118FD}" name="Symbol"/>
    <tableColumn id="3" xr3:uid="{AB770148-D062-4F96-8B1C-C7A6D0912187}" name="Current Price"/>
    <tableColumn id="4" xr3:uid="{B36D3951-C1A3-44C3-BADA-575BAEAD6C06}" name="1H Change %"/>
    <tableColumn id="5" xr3:uid="{B07182FA-7CA2-4F94-8C37-0A12C26352A3}" name="24H Change %"/>
    <tableColumn id="6" xr3:uid="{BA6DC2E1-C469-4D94-964D-526F3C6FFBFD}" name="7D Change %"/>
    <tableColumn id="7" xr3:uid="{66C893DA-98F5-47DB-807A-393B666664BE}" name="Average Downfall %"/>
    <tableColumn id="8" xr3:uid="{A829370A-8C79-456C-B0D9-5B2C3806D352}" name="Price Ran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opLeftCell="A2" workbookViewId="0">
      <selection activeCell="C20" sqref="C20"/>
    </sheetView>
  </sheetViews>
  <sheetFormatPr defaultRowHeight="14.4" x14ac:dyDescent="0.3"/>
  <cols>
    <col min="1" max="1" width="31.21875" bestFit="1" customWidth="1"/>
    <col min="2" max="2" width="10.21875" bestFit="1" customWidth="1"/>
    <col min="3" max="4" width="13.77734375" customWidth="1"/>
    <col min="5" max="5" width="14.77734375" customWidth="1"/>
    <col min="6" max="6" width="13.77734375" customWidth="1"/>
    <col min="7" max="7" width="19.5546875" customWidth="1"/>
    <col min="8" max="8" width="12.6640625" customWidth="1"/>
  </cols>
  <sheetData>
    <row r="1" spans="1:8" x14ac:dyDescent="0.3">
      <c r="A1" t="s">
        <v>0</v>
      </c>
      <c r="B1" t="s">
        <v>1</v>
      </c>
      <c r="C1" t="s">
        <v>2</v>
      </c>
      <c r="D1" t="s">
        <v>3</v>
      </c>
      <c r="E1" t="s">
        <v>4</v>
      </c>
      <c r="F1" t="s">
        <v>5</v>
      </c>
      <c r="G1" t="s">
        <v>6</v>
      </c>
      <c r="H1" t="s">
        <v>7</v>
      </c>
    </row>
    <row r="2" spans="1:8" x14ac:dyDescent="0.3">
      <c r="A2" t="s">
        <v>8</v>
      </c>
      <c r="B2" t="s">
        <v>9</v>
      </c>
      <c r="C2">
        <v>0.99950000000000006</v>
      </c>
      <c r="D2">
        <v>0</v>
      </c>
      <c r="E2">
        <v>0.01</v>
      </c>
      <c r="F2">
        <v>0.01</v>
      </c>
      <c r="G2">
        <v>6.7000000000000002E-3</v>
      </c>
      <c r="H2" t="s">
        <v>10</v>
      </c>
    </row>
    <row r="3" spans="1:8" x14ac:dyDescent="0.3">
      <c r="A3" t="s">
        <v>11</v>
      </c>
      <c r="B3" t="s">
        <v>12</v>
      </c>
      <c r="C3">
        <v>0.99990000000000001</v>
      </c>
      <c r="D3">
        <v>0</v>
      </c>
      <c r="E3">
        <v>0.01</v>
      </c>
      <c r="F3">
        <v>0.01</v>
      </c>
      <c r="G3">
        <v>6.7000000000000002E-3</v>
      </c>
      <c r="H3" t="s">
        <v>10</v>
      </c>
    </row>
    <row r="4" spans="1:8" x14ac:dyDescent="0.3">
      <c r="A4" t="s">
        <v>13</v>
      </c>
      <c r="B4" t="s">
        <v>14</v>
      </c>
      <c r="C4">
        <v>0.99870000000000003</v>
      </c>
      <c r="D4">
        <v>0.01</v>
      </c>
      <c r="E4">
        <v>0.01</v>
      </c>
      <c r="F4">
        <v>0.01</v>
      </c>
      <c r="G4">
        <v>0.01</v>
      </c>
      <c r="H4" t="s">
        <v>10</v>
      </c>
    </row>
    <row r="5" spans="1:8" x14ac:dyDescent="0.3">
      <c r="A5" t="s">
        <v>15</v>
      </c>
      <c r="B5" t="s">
        <v>15</v>
      </c>
      <c r="C5">
        <v>0.99990000000000001</v>
      </c>
      <c r="D5">
        <v>0.01</v>
      </c>
      <c r="E5">
        <v>0.01</v>
      </c>
      <c r="F5">
        <v>0.01</v>
      </c>
      <c r="G5">
        <v>0.01</v>
      </c>
      <c r="H5" t="s">
        <v>10</v>
      </c>
    </row>
    <row r="6" spans="1:8" x14ac:dyDescent="0.3">
      <c r="A6" t="s">
        <v>16</v>
      </c>
      <c r="B6" t="s">
        <v>17</v>
      </c>
      <c r="C6">
        <v>0.99980000000000002</v>
      </c>
      <c r="D6">
        <v>0.02</v>
      </c>
      <c r="E6">
        <v>0.01</v>
      </c>
      <c r="F6">
        <v>0</v>
      </c>
      <c r="G6">
        <v>0.01</v>
      </c>
      <c r="H6" t="s">
        <v>10</v>
      </c>
    </row>
    <row r="7" spans="1:8" x14ac:dyDescent="0.3">
      <c r="A7" t="s">
        <v>18</v>
      </c>
      <c r="B7" t="s">
        <v>19</v>
      </c>
      <c r="C7">
        <v>0.99960000000000004</v>
      </c>
      <c r="D7">
        <v>0.01</v>
      </c>
      <c r="E7">
        <v>0.02</v>
      </c>
      <c r="F7">
        <v>0.01</v>
      </c>
      <c r="G7">
        <v>1.3299999999999999E-2</v>
      </c>
      <c r="H7" t="s">
        <v>10</v>
      </c>
    </row>
    <row r="8" spans="1:8" x14ac:dyDescent="0.3">
      <c r="A8" t="s">
        <v>20</v>
      </c>
      <c r="B8" t="s">
        <v>21</v>
      </c>
      <c r="C8">
        <v>0.99950000000000006</v>
      </c>
      <c r="D8">
        <v>0.02</v>
      </c>
      <c r="E8">
        <v>0.01</v>
      </c>
      <c r="F8">
        <v>0.01</v>
      </c>
      <c r="G8">
        <v>1.3299999999999999E-2</v>
      </c>
      <c r="H8" t="s">
        <v>10</v>
      </c>
    </row>
    <row r="9" spans="1:8" x14ac:dyDescent="0.3">
      <c r="A9" t="s">
        <v>22</v>
      </c>
      <c r="B9" t="s">
        <v>23</v>
      </c>
      <c r="C9">
        <v>0.99909999999999999</v>
      </c>
      <c r="D9">
        <v>0.02</v>
      </c>
      <c r="E9">
        <v>0.02</v>
      </c>
      <c r="F9">
        <v>0.01</v>
      </c>
      <c r="G9">
        <v>1.67E-2</v>
      </c>
      <c r="H9" t="s">
        <v>10</v>
      </c>
    </row>
    <row r="10" spans="1:8" x14ac:dyDescent="0.3">
      <c r="A10" t="s">
        <v>24</v>
      </c>
      <c r="B10" t="s">
        <v>25</v>
      </c>
      <c r="C10">
        <v>0.99739999999999995</v>
      </c>
      <c r="D10">
        <v>0</v>
      </c>
      <c r="E10">
        <v>0</v>
      </c>
      <c r="F10">
        <v>0.06</v>
      </c>
      <c r="G10">
        <v>0.02</v>
      </c>
      <c r="H10" t="s">
        <v>10</v>
      </c>
    </row>
    <row r="11" spans="1:8" x14ac:dyDescent="0.3">
      <c r="A11" t="s">
        <v>26</v>
      </c>
      <c r="B11" t="s">
        <v>27</v>
      </c>
      <c r="C11">
        <v>0.99750000000000005</v>
      </c>
      <c r="D11">
        <v>0</v>
      </c>
      <c r="E11">
        <v>0.04</v>
      </c>
      <c r="F11">
        <v>7.0000000000000007E-2</v>
      </c>
      <c r="G11">
        <v>3.6700000000000003E-2</v>
      </c>
      <c r="H11" t="s">
        <v>10</v>
      </c>
    </row>
    <row r="12" spans="1:8" x14ac:dyDescent="0.3">
      <c r="A12" t="s">
        <v>28</v>
      </c>
      <c r="B12" t="s">
        <v>29</v>
      </c>
      <c r="C12">
        <v>0.99970000000000003</v>
      </c>
      <c r="D12">
        <v>0</v>
      </c>
      <c r="E12">
        <v>0.02</v>
      </c>
      <c r="F12">
        <v>0.12</v>
      </c>
      <c r="G12">
        <v>4.6699999999999998E-2</v>
      </c>
      <c r="H12" t="s">
        <v>10</v>
      </c>
    </row>
    <row r="13" spans="1:8" x14ac:dyDescent="0.3">
      <c r="A13" t="s">
        <v>30</v>
      </c>
      <c r="B13" t="s">
        <v>30</v>
      </c>
      <c r="C13">
        <v>0.99909999999999999</v>
      </c>
      <c r="D13">
        <v>0.01</v>
      </c>
      <c r="E13">
        <v>0.05</v>
      </c>
      <c r="F13">
        <v>0.17</v>
      </c>
      <c r="G13">
        <v>7.6700000000000004E-2</v>
      </c>
      <c r="H13" t="s">
        <v>10</v>
      </c>
    </row>
    <row r="14" spans="1:8" x14ac:dyDescent="0.3">
      <c r="A14" t="s">
        <v>31</v>
      </c>
      <c r="B14" t="s">
        <v>32</v>
      </c>
      <c r="C14">
        <v>6.73</v>
      </c>
      <c r="D14">
        <v>0.03</v>
      </c>
      <c r="E14">
        <v>0.09</v>
      </c>
      <c r="F14">
        <v>0.27</v>
      </c>
      <c r="G14">
        <v>0.13</v>
      </c>
      <c r="H14" t="s">
        <v>33</v>
      </c>
    </row>
    <row r="15" spans="1:8" x14ac:dyDescent="0.3">
      <c r="A15" t="s">
        <v>34</v>
      </c>
      <c r="B15" t="s">
        <v>35</v>
      </c>
      <c r="C15">
        <v>0.29399999999999998</v>
      </c>
      <c r="D15">
        <v>0.21</v>
      </c>
      <c r="E15">
        <v>0.18</v>
      </c>
      <c r="F15">
        <v>0.17</v>
      </c>
      <c r="G15">
        <v>0.1867</v>
      </c>
      <c r="H15" t="s">
        <v>36</v>
      </c>
    </row>
    <row r="16" spans="1:8" x14ac:dyDescent="0.3">
      <c r="A16" t="s">
        <v>37</v>
      </c>
      <c r="B16" t="s">
        <v>37</v>
      </c>
      <c r="C16">
        <v>1.1399999999999999</v>
      </c>
      <c r="D16">
        <v>0.06</v>
      </c>
      <c r="E16">
        <v>0.3</v>
      </c>
      <c r="F16">
        <v>0.37</v>
      </c>
      <c r="G16">
        <v>0.24329999999999999</v>
      </c>
      <c r="H16" t="s">
        <v>10</v>
      </c>
    </row>
    <row r="17" spans="1:8" x14ac:dyDescent="0.3">
      <c r="A17" t="s">
        <v>38</v>
      </c>
      <c r="B17" t="s">
        <v>39</v>
      </c>
      <c r="C17">
        <v>34.29</v>
      </c>
      <c r="D17">
        <v>0.39</v>
      </c>
      <c r="E17">
        <v>0.34</v>
      </c>
      <c r="F17">
        <v>0</v>
      </c>
      <c r="G17">
        <v>0.24329999999999999</v>
      </c>
      <c r="H17" t="s">
        <v>33</v>
      </c>
    </row>
    <row r="18" spans="1:8" x14ac:dyDescent="0.3">
      <c r="A18" t="s">
        <v>40</v>
      </c>
      <c r="B18" t="s">
        <v>41</v>
      </c>
      <c r="C18">
        <v>7.05</v>
      </c>
      <c r="D18">
        <v>0.16</v>
      </c>
      <c r="E18">
        <v>7.0000000000000007E-2</v>
      </c>
      <c r="F18">
        <v>0.52</v>
      </c>
      <c r="G18">
        <v>0.25</v>
      </c>
      <c r="H18" t="s">
        <v>33</v>
      </c>
    </row>
    <row r="19" spans="1:8" x14ac:dyDescent="0.3">
      <c r="A19" t="s">
        <v>42</v>
      </c>
      <c r="B19" t="s">
        <v>43</v>
      </c>
      <c r="C19">
        <v>0.78290000000000004</v>
      </c>
      <c r="D19">
        <v>0.32</v>
      </c>
      <c r="E19">
        <v>0.03</v>
      </c>
      <c r="F19">
        <v>0.5</v>
      </c>
      <c r="G19">
        <v>0.2833</v>
      </c>
      <c r="H19" t="s">
        <v>10</v>
      </c>
    </row>
    <row r="20" spans="1:8" x14ac:dyDescent="0.3">
      <c r="A20" t="s">
        <v>44</v>
      </c>
      <c r="B20" t="s">
        <v>45</v>
      </c>
      <c r="C20">
        <v>0.39129999999999998</v>
      </c>
      <c r="D20">
        <v>0.05</v>
      </c>
      <c r="E20">
        <v>0.84</v>
      </c>
      <c r="F20">
        <v>0.06</v>
      </c>
      <c r="G20">
        <v>0.31669999999999998</v>
      </c>
      <c r="H20" t="s">
        <v>36</v>
      </c>
    </row>
    <row r="21" spans="1:8" x14ac:dyDescent="0.3">
      <c r="A21" t="s">
        <v>46</v>
      </c>
      <c r="B21" t="s">
        <v>47</v>
      </c>
      <c r="C21">
        <v>0.26300000000000001</v>
      </c>
      <c r="D21">
        <v>0.45</v>
      </c>
      <c r="E21">
        <v>0.19</v>
      </c>
      <c r="F21">
        <v>0.35</v>
      </c>
      <c r="G21">
        <v>0.33</v>
      </c>
      <c r="H21" t="s">
        <v>36</v>
      </c>
    </row>
    <row r="22" spans="1:8" x14ac:dyDescent="0.3">
      <c r="A22" t="s">
        <v>48</v>
      </c>
      <c r="B22" t="s">
        <v>49</v>
      </c>
      <c r="C22">
        <v>1.99</v>
      </c>
      <c r="D22">
        <v>0.33</v>
      </c>
      <c r="E22">
        <v>0.54</v>
      </c>
      <c r="F22">
        <v>0.16</v>
      </c>
      <c r="G22">
        <v>0.34329999999999999</v>
      </c>
      <c r="H22" t="s">
        <v>10</v>
      </c>
    </row>
    <row r="23" spans="1:8" x14ac:dyDescent="0.3">
      <c r="A23" t="s">
        <v>50</v>
      </c>
      <c r="B23" t="s">
        <v>51</v>
      </c>
      <c r="C23">
        <v>2.742E-2</v>
      </c>
      <c r="D23">
        <v>0.19</v>
      </c>
      <c r="E23">
        <v>0.08</v>
      </c>
      <c r="F23">
        <v>0.8</v>
      </c>
      <c r="G23">
        <v>0.35670000000000002</v>
      </c>
      <c r="H23" t="s">
        <v>52</v>
      </c>
    </row>
    <row r="24" spans="1:8" x14ac:dyDescent="0.3">
      <c r="A24" t="s">
        <v>53</v>
      </c>
      <c r="B24" t="s">
        <v>54</v>
      </c>
      <c r="C24">
        <v>1.66</v>
      </c>
      <c r="D24">
        <v>7.0000000000000007E-2</v>
      </c>
      <c r="E24">
        <v>0.09</v>
      </c>
      <c r="F24">
        <v>0.91</v>
      </c>
      <c r="G24">
        <v>0.35670000000000002</v>
      </c>
      <c r="H24" t="s">
        <v>10</v>
      </c>
    </row>
    <row r="25" spans="1:8" x14ac:dyDescent="0.3">
      <c r="A25" t="s">
        <v>55</v>
      </c>
      <c r="B25" t="s">
        <v>56</v>
      </c>
      <c r="C25">
        <v>2.8930000000000001E-2</v>
      </c>
      <c r="D25">
        <v>0.5</v>
      </c>
      <c r="E25">
        <v>0.04</v>
      </c>
      <c r="F25">
        <v>0.56999999999999995</v>
      </c>
      <c r="G25">
        <v>0.37</v>
      </c>
      <c r="H25" t="s">
        <v>52</v>
      </c>
    </row>
    <row r="26" spans="1:8" x14ac:dyDescent="0.3">
      <c r="A26" t="s">
        <v>57</v>
      </c>
      <c r="B26" t="s">
        <v>58</v>
      </c>
      <c r="C26">
        <v>1.77E-2</v>
      </c>
      <c r="D26">
        <v>0.4</v>
      </c>
      <c r="E26">
        <v>0.44</v>
      </c>
      <c r="F26">
        <v>0.28000000000000003</v>
      </c>
      <c r="G26">
        <v>0.37330000000000002</v>
      </c>
      <c r="H26" t="s">
        <v>52</v>
      </c>
    </row>
    <row r="27" spans="1:8" x14ac:dyDescent="0.3">
      <c r="A27" t="s">
        <v>59</v>
      </c>
      <c r="B27" t="s">
        <v>60</v>
      </c>
      <c r="C27">
        <v>0.4289</v>
      </c>
      <c r="D27">
        <v>0.05</v>
      </c>
      <c r="E27">
        <v>0.86</v>
      </c>
      <c r="F27">
        <v>0.41</v>
      </c>
      <c r="G27">
        <v>0.44</v>
      </c>
      <c r="H27" t="s">
        <v>36</v>
      </c>
    </row>
    <row r="28" spans="1:8" x14ac:dyDescent="0.3">
      <c r="A28" t="s">
        <v>61</v>
      </c>
      <c r="B28" t="s">
        <v>62</v>
      </c>
      <c r="C28">
        <v>0.16950000000000001</v>
      </c>
      <c r="D28">
        <v>7.0000000000000007E-2</v>
      </c>
      <c r="E28">
        <v>0.88</v>
      </c>
      <c r="F28">
        <v>0.44</v>
      </c>
      <c r="G28">
        <v>0.46329999999999999</v>
      </c>
      <c r="H28" t="s">
        <v>36</v>
      </c>
    </row>
    <row r="29" spans="1:8" x14ac:dyDescent="0.3">
      <c r="A29" t="s">
        <v>63</v>
      </c>
      <c r="B29" t="s">
        <v>64</v>
      </c>
      <c r="C29">
        <v>1.55</v>
      </c>
      <c r="D29">
        <v>0.05</v>
      </c>
      <c r="E29">
        <v>0.16</v>
      </c>
      <c r="F29">
        <v>1.28</v>
      </c>
      <c r="G29">
        <v>0.49669999999999997</v>
      </c>
      <c r="H29" t="s">
        <v>10</v>
      </c>
    </row>
    <row r="30" spans="1:8" x14ac:dyDescent="0.3">
      <c r="A30" t="s">
        <v>65</v>
      </c>
      <c r="B30" t="s">
        <v>66</v>
      </c>
      <c r="C30">
        <v>6.2676999999999997E-2</v>
      </c>
      <c r="D30">
        <v>0.21</v>
      </c>
      <c r="E30">
        <v>1.06</v>
      </c>
      <c r="F30">
        <v>0.25</v>
      </c>
      <c r="G30">
        <v>0.50670000000000004</v>
      </c>
      <c r="H30" t="s">
        <v>36</v>
      </c>
    </row>
    <row r="31" spans="1:8" x14ac:dyDescent="0.3">
      <c r="A31" t="s">
        <v>67</v>
      </c>
      <c r="B31" t="s">
        <v>68</v>
      </c>
      <c r="C31">
        <v>4.8439999999999997E-2</v>
      </c>
      <c r="D31">
        <v>0.9</v>
      </c>
      <c r="E31">
        <v>0</v>
      </c>
      <c r="F31">
        <v>0.7</v>
      </c>
      <c r="G31">
        <v>0.5333</v>
      </c>
      <c r="H31" t="s">
        <v>52</v>
      </c>
    </row>
    <row r="32" spans="1:8" x14ac:dyDescent="0.3">
      <c r="A32" t="s">
        <v>69</v>
      </c>
      <c r="B32" t="s">
        <v>70</v>
      </c>
      <c r="C32">
        <v>5.5620000000000003E-2</v>
      </c>
      <c r="D32">
        <v>0.08</v>
      </c>
      <c r="E32">
        <v>7.0000000000000007E-2</v>
      </c>
      <c r="F32">
        <v>1.5</v>
      </c>
      <c r="G32">
        <v>0.55000000000000004</v>
      </c>
      <c r="H32" t="s">
        <v>36</v>
      </c>
    </row>
    <row r="33" spans="1:8" x14ac:dyDescent="0.3">
      <c r="A33" t="s">
        <v>71</v>
      </c>
      <c r="B33" t="s">
        <v>72</v>
      </c>
      <c r="C33">
        <v>4026.16</v>
      </c>
      <c r="D33">
        <v>0.02</v>
      </c>
      <c r="E33">
        <v>0.03</v>
      </c>
      <c r="F33">
        <v>1.61</v>
      </c>
      <c r="G33">
        <v>0.55330000000000001</v>
      </c>
      <c r="H33" t="s">
        <v>73</v>
      </c>
    </row>
    <row r="34" spans="1:8" x14ac:dyDescent="0.3">
      <c r="A34" t="s">
        <v>74</v>
      </c>
      <c r="B34" t="s">
        <v>74</v>
      </c>
      <c r="C34">
        <v>3.653E-2</v>
      </c>
      <c r="D34">
        <v>0.44</v>
      </c>
      <c r="E34">
        <v>0.24</v>
      </c>
      <c r="F34">
        <v>0.99</v>
      </c>
      <c r="G34">
        <v>0.55669999999999997</v>
      </c>
      <c r="H34" t="s">
        <v>52</v>
      </c>
    </row>
    <row r="35" spans="1:8" x14ac:dyDescent="0.3">
      <c r="A35" t="s">
        <v>75</v>
      </c>
      <c r="B35" t="s">
        <v>76</v>
      </c>
      <c r="C35">
        <v>3.322E-2</v>
      </c>
      <c r="D35">
        <v>0.15</v>
      </c>
      <c r="E35">
        <v>1.17</v>
      </c>
      <c r="F35">
        <v>0.36</v>
      </c>
      <c r="G35">
        <v>0.56000000000000005</v>
      </c>
      <c r="H35" t="s">
        <v>52</v>
      </c>
    </row>
    <row r="36" spans="1:8" x14ac:dyDescent="0.3">
      <c r="A36" t="s">
        <v>77</v>
      </c>
      <c r="B36" t="s">
        <v>78</v>
      </c>
      <c r="C36">
        <v>0.28149999999999997</v>
      </c>
      <c r="D36">
        <v>0.09</v>
      </c>
      <c r="E36">
        <v>1.18</v>
      </c>
      <c r="F36">
        <v>0.48</v>
      </c>
      <c r="G36">
        <v>0.58330000000000004</v>
      </c>
      <c r="H36" t="s">
        <v>36</v>
      </c>
    </row>
    <row r="37" spans="1:8" x14ac:dyDescent="0.3">
      <c r="A37" t="s">
        <v>79</v>
      </c>
      <c r="B37" t="s">
        <v>80</v>
      </c>
      <c r="C37">
        <v>6.62E-3</v>
      </c>
      <c r="D37">
        <v>0.28000000000000003</v>
      </c>
      <c r="E37">
        <v>1.24</v>
      </c>
      <c r="F37">
        <v>0.32</v>
      </c>
      <c r="G37">
        <v>0.61329999999999996</v>
      </c>
      <c r="H37" t="s">
        <v>52</v>
      </c>
    </row>
    <row r="38" spans="1:8" x14ac:dyDescent="0.3">
      <c r="A38" t="s">
        <v>81</v>
      </c>
      <c r="B38" t="s">
        <v>82</v>
      </c>
      <c r="C38">
        <v>1</v>
      </c>
      <c r="D38">
        <v>0.46</v>
      </c>
      <c r="E38">
        <v>1.2</v>
      </c>
      <c r="F38">
        <v>0.19</v>
      </c>
      <c r="G38">
        <v>0.61670000000000003</v>
      </c>
      <c r="H38" t="s">
        <v>10</v>
      </c>
    </row>
    <row r="39" spans="1:8" x14ac:dyDescent="0.3">
      <c r="A39" t="s">
        <v>83</v>
      </c>
      <c r="B39" t="s">
        <v>84</v>
      </c>
      <c r="C39">
        <v>1.66</v>
      </c>
      <c r="D39">
        <v>0.02</v>
      </c>
      <c r="E39">
        <v>0.78</v>
      </c>
      <c r="F39">
        <v>1.0900000000000001</v>
      </c>
      <c r="G39">
        <v>0.63</v>
      </c>
      <c r="H39" t="s">
        <v>10</v>
      </c>
    </row>
    <row r="40" spans="1:8" x14ac:dyDescent="0.3">
      <c r="A40" t="s">
        <v>85</v>
      </c>
      <c r="B40" t="s">
        <v>86</v>
      </c>
      <c r="C40">
        <v>65.180000000000007</v>
      </c>
      <c r="D40">
        <v>0.19</v>
      </c>
      <c r="E40">
        <v>0.72</v>
      </c>
      <c r="F40">
        <v>0.98</v>
      </c>
      <c r="G40">
        <v>0.63</v>
      </c>
      <c r="H40" t="s">
        <v>73</v>
      </c>
    </row>
    <row r="41" spans="1:8" x14ac:dyDescent="0.3">
      <c r="A41" t="s">
        <v>87</v>
      </c>
      <c r="B41" t="s">
        <v>88</v>
      </c>
      <c r="C41">
        <v>7.5190000000000007E-2</v>
      </c>
      <c r="D41">
        <v>0.4</v>
      </c>
      <c r="E41">
        <v>1.1100000000000001</v>
      </c>
      <c r="F41">
        <v>0.41</v>
      </c>
      <c r="G41">
        <v>0.64</v>
      </c>
      <c r="H41" t="s">
        <v>36</v>
      </c>
    </row>
    <row r="42" spans="1:8" x14ac:dyDescent="0.3">
      <c r="A42" t="s">
        <v>89</v>
      </c>
      <c r="B42" t="s">
        <v>89</v>
      </c>
      <c r="C42">
        <v>1.1100000000000001</v>
      </c>
      <c r="D42">
        <v>0.09</v>
      </c>
      <c r="E42">
        <v>0.46</v>
      </c>
      <c r="F42">
        <v>1.37</v>
      </c>
      <c r="G42">
        <v>0.64</v>
      </c>
      <c r="H42" t="s">
        <v>10</v>
      </c>
    </row>
    <row r="43" spans="1:8" x14ac:dyDescent="0.3">
      <c r="A43" t="s">
        <v>90</v>
      </c>
      <c r="B43" t="s">
        <v>91</v>
      </c>
      <c r="C43">
        <v>4021.43</v>
      </c>
      <c r="D43">
        <v>0.03</v>
      </c>
      <c r="E43">
        <v>0.09</v>
      </c>
      <c r="F43">
        <v>1.81</v>
      </c>
      <c r="G43">
        <v>0.64329999999999998</v>
      </c>
      <c r="H43" t="s">
        <v>73</v>
      </c>
    </row>
    <row r="44" spans="1:8" x14ac:dyDescent="0.3">
      <c r="A44" t="s">
        <v>92</v>
      </c>
      <c r="B44" t="s">
        <v>93</v>
      </c>
      <c r="C44">
        <v>6.67</v>
      </c>
      <c r="D44">
        <v>0.6</v>
      </c>
      <c r="E44">
        <v>0.37</v>
      </c>
      <c r="F44">
        <v>1.01</v>
      </c>
      <c r="G44">
        <v>0.66</v>
      </c>
      <c r="H44" t="s">
        <v>33</v>
      </c>
    </row>
    <row r="45" spans="1:8" x14ac:dyDescent="0.3">
      <c r="A45" t="s">
        <v>94</v>
      </c>
      <c r="B45" t="s">
        <v>95</v>
      </c>
      <c r="C45">
        <v>4.8529999999999997E-2</v>
      </c>
      <c r="D45">
        <v>0.03</v>
      </c>
      <c r="E45">
        <v>0.31</v>
      </c>
      <c r="F45">
        <v>1.71</v>
      </c>
      <c r="G45">
        <v>0.68330000000000002</v>
      </c>
      <c r="H45" t="s">
        <v>52</v>
      </c>
    </row>
    <row r="46" spans="1:8" x14ac:dyDescent="0.3">
      <c r="A46" t="s">
        <v>96</v>
      </c>
      <c r="B46" t="s">
        <v>97</v>
      </c>
      <c r="C46">
        <v>6.2723000000000001E-2</v>
      </c>
      <c r="D46">
        <v>0.01</v>
      </c>
      <c r="E46">
        <v>0.28000000000000003</v>
      </c>
      <c r="F46">
        <v>1.83</v>
      </c>
      <c r="G46">
        <v>0.70669999999999999</v>
      </c>
      <c r="H46" t="s">
        <v>36</v>
      </c>
    </row>
    <row r="47" spans="1:8" x14ac:dyDescent="0.3">
      <c r="A47" t="s">
        <v>98</v>
      </c>
      <c r="B47" t="s">
        <v>99</v>
      </c>
      <c r="C47">
        <v>6.92</v>
      </c>
      <c r="D47">
        <v>0.19</v>
      </c>
      <c r="E47">
        <v>1.25</v>
      </c>
      <c r="F47">
        <v>0.68</v>
      </c>
      <c r="G47">
        <v>0.70669999999999999</v>
      </c>
      <c r="H47" t="s">
        <v>33</v>
      </c>
    </row>
    <row r="48" spans="1:8" x14ac:dyDescent="0.3">
      <c r="A48" t="s">
        <v>100</v>
      </c>
      <c r="B48" t="s">
        <v>100</v>
      </c>
      <c r="C48">
        <v>582.59</v>
      </c>
      <c r="D48">
        <v>0.17</v>
      </c>
      <c r="E48">
        <v>0.42</v>
      </c>
      <c r="F48">
        <v>1.53</v>
      </c>
      <c r="G48">
        <v>0.70669999999999999</v>
      </c>
      <c r="H48" t="s">
        <v>73</v>
      </c>
    </row>
    <row r="49" spans="1:8" x14ac:dyDescent="0.3">
      <c r="A49" t="s">
        <v>101</v>
      </c>
      <c r="B49" t="s">
        <v>101</v>
      </c>
      <c r="C49">
        <v>9.8999999999999999E-4</v>
      </c>
      <c r="D49">
        <v>0.03</v>
      </c>
      <c r="E49">
        <v>2.04</v>
      </c>
      <c r="F49">
        <v>0.05</v>
      </c>
      <c r="G49">
        <v>0.70669999999999999</v>
      </c>
      <c r="H49" t="s">
        <v>52</v>
      </c>
    </row>
    <row r="50" spans="1:8" x14ac:dyDescent="0.3">
      <c r="A50" t="s">
        <v>102</v>
      </c>
      <c r="B50" t="s">
        <v>103</v>
      </c>
      <c r="C50">
        <v>1.02</v>
      </c>
      <c r="D50">
        <v>0.56999999999999995</v>
      </c>
      <c r="E50">
        <v>0.24</v>
      </c>
      <c r="F50">
        <v>1.36</v>
      </c>
      <c r="G50">
        <v>0.72330000000000005</v>
      </c>
      <c r="H50" t="s">
        <v>10</v>
      </c>
    </row>
    <row r="51" spans="1:8" x14ac:dyDescent="0.3">
      <c r="A51" t="s">
        <v>104</v>
      </c>
      <c r="B51" t="s">
        <v>105</v>
      </c>
      <c r="C51">
        <v>0.63009999999999999</v>
      </c>
      <c r="D51">
        <v>0.1</v>
      </c>
      <c r="E51">
        <v>0.95</v>
      </c>
      <c r="F51">
        <v>1.1599999999999999</v>
      </c>
      <c r="G51">
        <v>0.73670000000000002</v>
      </c>
      <c r="H51" t="s">
        <v>10</v>
      </c>
    </row>
    <row r="52" spans="1:8" x14ac:dyDescent="0.3">
      <c r="A52" t="s">
        <v>106</v>
      </c>
      <c r="B52" t="s">
        <v>107</v>
      </c>
      <c r="C52">
        <v>0.69720000000000004</v>
      </c>
      <c r="D52">
        <v>0.02</v>
      </c>
      <c r="E52">
        <v>0.95</v>
      </c>
      <c r="F52">
        <v>1.31</v>
      </c>
      <c r="G52">
        <v>0.76</v>
      </c>
      <c r="H52" t="s">
        <v>10</v>
      </c>
    </row>
    <row r="53" spans="1:8" x14ac:dyDescent="0.3">
      <c r="A53" t="s">
        <v>108</v>
      </c>
      <c r="B53" t="s">
        <v>109</v>
      </c>
      <c r="C53">
        <v>8.0640000000000003E-2</v>
      </c>
      <c r="D53">
        <v>0.03</v>
      </c>
      <c r="E53">
        <v>0.19</v>
      </c>
      <c r="F53">
        <v>2.0699999999999998</v>
      </c>
      <c r="G53">
        <v>0.76329999999999998</v>
      </c>
      <c r="H53" t="s">
        <v>36</v>
      </c>
    </row>
    <row r="54" spans="1:8" x14ac:dyDescent="0.3">
      <c r="A54" t="s">
        <v>110</v>
      </c>
      <c r="B54" t="s">
        <v>111</v>
      </c>
      <c r="C54">
        <v>4.8500000000000001E-3</v>
      </c>
      <c r="D54">
        <v>0.15</v>
      </c>
      <c r="E54">
        <v>0.27</v>
      </c>
      <c r="F54">
        <v>1.9</v>
      </c>
      <c r="G54">
        <v>0.77329999999999999</v>
      </c>
      <c r="H54" t="s">
        <v>52</v>
      </c>
    </row>
    <row r="55" spans="1:8" x14ac:dyDescent="0.3">
      <c r="A55" t="s">
        <v>112</v>
      </c>
      <c r="B55" t="s">
        <v>113</v>
      </c>
      <c r="C55">
        <v>7.4090000000000003E-2</v>
      </c>
      <c r="D55">
        <v>0.09</v>
      </c>
      <c r="E55">
        <v>0.56999999999999995</v>
      </c>
      <c r="F55">
        <v>1.68</v>
      </c>
      <c r="G55">
        <v>0.78</v>
      </c>
      <c r="H55" t="s">
        <v>36</v>
      </c>
    </row>
    <row r="56" spans="1:8" x14ac:dyDescent="0.3">
      <c r="A56" t="s">
        <v>114</v>
      </c>
      <c r="B56" t="s">
        <v>115</v>
      </c>
      <c r="C56">
        <v>0.1477</v>
      </c>
      <c r="D56">
        <v>0.23</v>
      </c>
      <c r="E56">
        <v>1.64</v>
      </c>
      <c r="F56">
        <v>0.51</v>
      </c>
      <c r="G56">
        <v>0.79330000000000001</v>
      </c>
      <c r="H56" t="s">
        <v>36</v>
      </c>
    </row>
    <row r="57" spans="1:8" x14ac:dyDescent="0.3">
      <c r="A57" t="s">
        <v>116</v>
      </c>
      <c r="B57" t="s">
        <v>117</v>
      </c>
      <c r="C57">
        <v>0.1022</v>
      </c>
      <c r="D57">
        <v>0.05</v>
      </c>
      <c r="E57">
        <v>0.62</v>
      </c>
      <c r="F57">
        <v>1.85</v>
      </c>
      <c r="G57">
        <v>0.84</v>
      </c>
      <c r="H57" t="s">
        <v>36</v>
      </c>
    </row>
    <row r="58" spans="1:8" x14ac:dyDescent="0.3">
      <c r="A58" t="s">
        <v>118</v>
      </c>
      <c r="B58" t="s">
        <v>119</v>
      </c>
      <c r="C58">
        <v>77.3</v>
      </c>
      <c r="D58">
        <v>0.09</v>
      </c>
      <c r="E58">
        <v>1.08</v>
      </c>
      <c r="F58">
        <v>1.35</v>
      </c>
      <c r="G58">
        <v>0.84</v>
      </c>
      <c r="H58" t="s">
        <v>73</v>
      </c>
    </row>
    <row r="59" spans="1:8" x14ac:dyDescent="0.3">
      <c r="A59" t="s">
        <v>120</v>
      </c>
      <c r="B59" t="s">
        <v>121</v>
      </c>
      <c r="C59">
        <v>1.4</v>
      </c>
      <c r="D59">
        <v>0.27</v>
      </c>
      <c r="E59">
        <v>1.46</v>
      </c>
      <c r="F59">
        <v>0.84</v>
      </c>
      <c r="G59">
        <v>0.85670000000000002</v>
      </c>
      <c r="H59" t="s">
        <v>10</v>
      </c>
    </row>
    <row r="60" spans="1:8" x14ac:dyDescent="0.3">
      <c r="A60" t="s">
        <v>122</v>
      </c>
      <c r="B60" t="s">
        <v>123</v>
      </c>
      <c r="C60">
        <v>0.75670000000000004</v>
      </c>
      <c r="D60">
        <v>0.55000000000000004</v>
      </c>
      <c r="E60">
        <v>0.2</v>
      </c>
      <c r="F60">
        <v>1.83</v>
      </c>
      <c r="G60">
        <v>0.86</v>
      </c>
      <c r="H60" t="s">
        <v>10</v>
      </c>
    </row>
    <row r="61" spans="1:8" x14ac:dyDescent="0.3">
      <c r="A61" t="s">
        <v>124</v>
      </c>
      <c r="B61" t="s">
        <v>125</v>
      </c>
      <c r="C61">
        <v>5.4219999999999997E-2</v>
      </c>
      <c r="D61">
        <v>0.23</v>
      </c>
      <c r="E61">
        <v>0.75</v>
      </c>
      <c r="F61">
        <v>1.66</v>
      </c>
      <c r="G61">
        <v>0.88</v>
      </c>
      <c r="H61" t="s">
        <v>36</v>
      </c>
    </row>
    <row r="62" spans="1:8" x14ac:dyDescent="0.3">
      <c r="A62" t="s">
        <v>126</v>
      </c>
      <c r="B62" t="s">
        <v>127</v>
      </c>
      <c r="C62">
        <v>0.16020000000000001</v>
      </c>
      <c r="D62">
        <v>0.08</v>
      </c>
      <c r="E62">
        <v>1.04</v>
      </c>
      <c r="F62">
        <v>1.52</v>
      </c>
      <c r="G62">
        <v>0.88</v>
      </c>
      <c r="H62" t="s">
        <v>36</v>
      </c>
    </row>
    <row r="63" spans="1:8" x14ac:dyDescent="0.3">
      <c r="A63" t="s">
        <v>128</v>
      </c>
      <c r="B63" t="s">
        <v>129</v>
      </c>
      <c r="C63">
        <v>6.1380000000000002E-3</v>
      </c>
      <c r="D63">
        <v>0.47</v>
      </c>
      <c r="E63">
        <v>0.71</v>
      </c>
      <c r="F63">
        <v>1.46</v>
      </c>
      <c r="G63">
        <v>0.88</v>
      </c>
      <c r="H63" t="s">
        <v>52</v>
      </c>
    </row>
    <row r="64" spans="1:8" x14ac:dyDescent="0.3">
      <c r="A64" t="s">
        <v>130</v>
      </c>
      <c r="B64" t="s">
        <v>131</v>
      </c>
      <c r="C64">
        <v>1.98</v>
      </c>
      <c r="D64">
        <v>0.28999999999999998</v>
      </c>
      <c r="E64">
        <v>0.08</v>
      </c>
      <c r="F64">
        <v>2.27</v>
      </c>
      <c r="G64">
        <v>0.88</v>
      </c>
      <c r="H64" t="s">
        <v>10</v>
      </c>
    </row>
    <row r="65" spans="1:8" x14ac:dyDescent="0.3">
      <c r="A65" t="s">
        <v>132</v>
      </c>
      <c r="B65" t="s">
        <v>133</v>
      </c>
      <c r="C65">
        <v>0.32440000000000002</v>
      </c>
      <c r="D65">
        <v>0.12</v>
      </c>
      <c r="E65">
        <v>0.78</v>
      </c>
      <c r="F65">
        <v>1.89</v>
      </c>
      <c r="G65">
        <v>0.93</v>
      </c>
      <c r="H65" t="s">
        <v>36</v>
      </c>
    </row>
    <row r="66" spans="1:8" x14ac:dyDescent="0.3">
      <c r="A66" t="s">
        <v>134</v>
      </c>
      <c r="B66" t="s">
        <v>135</v>
      </c>
      <c r="C66">
        <v>45.14</v>
      </c>
      <c r="D66">
        <v>0.32</v>
      </c>
      <c r="E66">
        <v>0.28999999999999998</v>
      </c>
      <c r="F66">
        <v>2.2000000000000002</v>
      </c>
      <c r="G66">
        <v>0.93669999999999998</v>
      </c>
      <c r="H66" t="s">
        <v>33</v>
      </c>
    </row>
    <row r="67" spans="1:8" x14ac:dyDescent="0.3">
      <c r="A67" t="s">
        <v>136</v>
      </c>
      <c r="B67" t="s">
        <v>137</v>
      </c>
      <c r="C67">
        <v>2150.6799999999998</v>
      </c>
      <c r="D67">
        <v>0.12</v>
      </c>
      <c r="E67">
        <v>1.41</v>
      </c>
      <c r="F67">
        <v>1.3</v>
      </c>
      <c r="G67">
        <v>0.94330000000000003</v>
      </c>
      <c r="H67" t="s">
        <v>73</v>
      </c>
    </row>
    <row r="68" spans="1:8" x14ac:dyDescent="0.3">
      <c r="A68" t="s">
        <v>138</v>
      </c>
      <c r="B68" t="s">
        <v>139</v>
      </c>
      <c r="C68">
        <v>6.4763000000000001E-2</v>
      </c>
      <c r="D68">
        <v>0.69</v>
      </c>
      <c r="E68">
        <v>1.1000000000000001</v>
      </c>
      <c r="F68">
        <v>1.0900000000000001</v>
      </c>
      <c r="G68">
        <v>0.96</v>
      </c>
      <c r="H68" t="s">
        <v>36</v>
      </c>
    </row>
    <row r="69" spans="1:8" x14ac:dyDescent="0.3">
      <c r="A69" t="s">
        <v>140</v>
      </c>
      <c r="B69" t="s">
        <v>141</v>
      </c>
      <c r="C69">
        <v>66.81</v>
      </c>
      <c r="D69">
        <v>0.16</v>
      </c>
      <c r="E69">
        <v>0.91</v>
      </c>
      <c r="F69">
        <v>1.86</v>
      </c>
      <c r="G69">
        <v>0.97670000000000001</v>
      </c>
      <c r="H69" t="s">
        <v>73</v>
      </c>
    </row>
    <row r="70" spans="1:8" x14ac:dyDescent="0.3">
      <c r="A70" t="s">
        <v>142</v>
      </c>
      <c r="B70" t="s">
        <v>143</v>
      </c>
      <c r="C70">
        <v>0.84040000000000004</v>
      </c>
      <c r="D70">
        <v>0.46</v>
      </c>
      <c r="E70">
        <v>2.0299999999999998</v>
      </c>
      <c r="F70">
        <v>0.57999999999999996</v>
      </c>
      <c r="G70">
        <v>1.0233000000000001</v>
      </c>
      <c r="H70" t="s">
        <v>10</v>
      </c>
    </row>
    <row r="71" spans="1:8" x14ac:dyDescent="0.3">
      <c r="A71" t="s">
        <v>144</v>
      </c>
      <c r="B71" t="s">
        <v>145</v>
      </c>
      <c r="C71">
        <v>0.1008</v>
      </c>
      <c r="D71">
        <v>0.09</v>
      </c>
      <c r="E71">
        <v>0.26</v>
      </c>
      <c r="F71">
        <v>2.75</v>
      </c>
      <c r="G71">
        <v>1.0333000000000001</v>
      </c>
      <c r="H71" t="s">
        <v>36</v>
      </c>
    </row>
    <row r="72" spans="1:8" x14ac:dyDescent="0.3">
      <c r="A72" t="s">
        <v>146</v>
      </c>
      <c r="B72" t="s">
        <v>147</v>
      </c>
      <c r="C72">
        <v>3.3770000000000001E-2</v>
      </c>
      <c r="D72">
        <v>0.06</v>
      </c>
      <c r="E72">
        <v>0.97</v>
      </c>
      <c r="F72">
        <v>2.15</v>
      </c>
      <c r="G72">
        <v>1.06</v>
      </c>
      <c r="H72" t="s">
        <v>52</v>
      </c>
    </row>
    <row r="73" spans="1:8" x14ac:dyDescent="0.3">
      <c r="A73" t="s">
        <v>148</v>
      </c>
      <c r="B73" t="s">
        <v>149</v>
      </c>
      <c r="C73">
        <v>1.57</v>
      </c>
      <c r="D73">
        <v>0.04</v>
      </c>
      <c r="E73">
        <v>2.42</v>
      </c>
      <c r="F73">
        <v>0.77</v>
      </c>
      <c r="G73">
        <v>1.0767</v>
      </c>
      <c r="H73" t="s">
        <v>10</v>
      </c>
    </row>
    <row r="74" spans="1:8" x14ac:dyDescent="0.3">
      <c r="A74" t="s">
        <v>150</v>
      </c>
      <c r="B74" t="s">
        <v>151</v>
      </c>
      <c r="C74">
        <v>64715.34</v>
      </c>
      <c r="D74">
        <v>0.23</v>
      </c>
      <c r="E74">
        <v>0.12</v>
      </c>
      <c r="F74">
        <v>2.89</v>
      </c>
      <c r="G74">
        <v>1.08</v>
      </c>
      <c r="H74" t="s">
        <v>73</v>
      </c>
    </row>
    <row r="75" spans="1:8" x14ac:dyDescent="0.3">
      <c r="A75" t="s">
        <v>152</v>
      </c>
      <c r="B75" t="s">
        <v>153</v>
      </c>
      <c r="C75">
        <v>1.23</v>
      </c>
      <c r="D75">
        <v>0.39</v>
      </c>
      <c r="E75">
        <v>1.24</v>
      </c>
      <c r="F75">
        <v>1.63</v>
      </c>
      <c r="G75">
        <v>1.0867</v>
      </c>
      <c r="H75" t="s">
        <v>10</v>
      </c>
    </row>
    <row r="76" spans="1:8" x14ac:dyDescent="0.3">
      <c r="A76" t="s">
        <v>154</v>
      </c>
      <c r="B76" t="s">
        <v>155</v>
      </c>
      <c r="C76">
        <v>13.26</v>
      </c>
      <c r="D76">
        <v>0.27</v>
      </c>
      <c r="E76">
        <v>2.12</v>
      </c>
      <c r="F76">
        <v>0.97</v>
      </c>
      <c r="G76">
        <v>1.1200000000000001</v>
      </c>
      <c r="H76" t="s">
        <v>33</v>
      </c>
    </row>
    <row r="77" spans="1:8" x14ac:dyDescent="0.3">
      <c r="A77" t="s">
        <v>156</v>
      </c>
      <c r="B77" t="s">
        <v>157</v>
      </c>
      <c r="C77">
        <v>9.8000000000000007</v>
      </c>
      <c r="D77">
        <v>0</v>
      </c>
      <c r="E77">
        <v>0.26</v>
      </c>
      <c r="F77">
        <v>3.31</v>
      </c>
      <c r="G77">
        <v>1.19</v>
      </c>
      <c r="H77" t="s">
        <v>33</v>
      </c>
    </row>
    <row r="78" spans="1:8" x14ac:dyDescent="0.3">
      <c r="A78" t="s">
        <v>158</v>
      </c>
      <c r="B78" t="s">
        <v>159</v>
      </c>
      <c r="C78">
        <v>1.57</v>
      </c>
      <c r="D78">
        <v>0.05</v>
      </c>
      <c r="E78">
        <v>0.54</v>
      </c>
      <c r="F78">
        <v>3.01</v>
      </c>
      <c r="G78">
        <v>1.2</v>
      </c>
      <c r="H78" t="s">
        <v>10</v>
      </c>
    </row>
    <row r="79" spans="1:8" x14ac:dyDescent="0.3">
      <c r="A79" t="s">
        <v>160</v>
      </c>
      <c r="B79" t="s">
        <v>161</v>
      </c>
      <c r="C79">
        <v>332.4</v>
      </c>
      <c r="D79">
        <v>0.33</v>
      </c>
      <c r="E79">
        <v>0.55000000000000004</v>
      </c>
      <c r="F79">
        <v>2.72</v>
      </c>
      <c r="G79">
        <v>1.2</v>
      </c>
      <c r="H79" t="s">
        <v>73</v>
      </c>
    </row>
    <row r="80" spans="1:8" x14ac:dyDescent="0.3">
      <c r="A80" t="s">
        <v>162</v>
      </c>
      <c r="B80" t="s">
        <v>163</v>
      </c>
      <c r="C80">
        <v>9.8460000000000006E-2</v>
      </c>
      <c r="D80">
        <v>0.68</v>
      </c>
      <c r="E80">
        <v>0.47</v>
      </c>
      <c r="F80">
        <v>2.46</v>
      </c>
      <c r="G80">
        <v>1.2033</v>
      </c>
      <c r="H80" t="s">
        <v>36</v>
      </c>
    </row>
    <row r="81" spans="1:8" x14ac:dyDescent="0.3">
      <c r="A81" t="s">
        <v>164</v>
      </c>
      <c r="B81" t="s">
        <v>165</v>
      </c>
      <c r="C81">
        <v>5.808E-2</v>
      </c>
      <c r="D81">
        <v>0.62</v>
      </c>
      <c r="E81">
        <v>2.15</v>
      </c>
      <c r="F81">
        <v>0.88</v>
      </c>
      <c r="G81">
        <v>1.2166999999999999</v>
      </c>
      <c r="H81" t="s">
        <v>36</v>
      </c>
    </row>
    <row r="82" spans="1:8" x14ac:dyDescent="0.3">
      <c r="A82" t="s">
        <v>166</v>
      </c>
      <c r="B82" t="s">
        <v>167</v>
      </c>
      <c r="C82">
        <v>0.16400000000000001</v>
      </c>
      <c r="D82">
        <v>0.28000000000000003</v>
      </c>
      <c r="E82">
        <v>0.36</v>
      </c>
      <c r="F82">
        <v>3.21</v>
      </c>
      <c r="G82">
        <v>1.2833000000000001</v>
      </c>
      <c r="H82" t="s">
        <v>36</v>
      </c>
    </row>
    <row r="83" spans="1:8" x14ac:dyDescent="0.3">
      <c r="A83" t="s">
        <v>168</v>
      </c>
      <c r="B83" t="s">
        <v>169</v>
      </c>
      <c r="C83">
        <v>1.025E-2</v>
      </c>
      <c r="D83">
        <v>0.46</v>
      </c>
      <c r="E83">
        <v>0.8</v>
      </c>
      <c r="F83">
        <v>2.62</v>
      </c>
      <c r="G83">
        <v>1.2932999999999999</v>
      </c>
      <c r="H83" t="s">
        <v>52</v>
      </c>
    </row>
    <row r="84" spans="1:8" x14ac:dyDescent="0.3">
      <c r="A84" t="s">
        <v>170</v>
      </c>
      <c r="B84" t="s">
        <v>171</v>
      </c>
      <c r="C84">
        <v>1.8010000000000002E-2</v>
      </c>
      <c r="D84">
        <v>0.06</v>
      </c>
      <c r="E84">
        <v>0.84</v>
      </c>
      <c r="F84">
        <v>3.02</v>
      </c>
      <c r="G84">
        <v>1.3067</v>
      </c>
      <c r="H84" t="s">
        <v>52</v>
      </c>
    </row>
    <row r="85" spans="1:8" x14ac:dyDescent="0.3">
      <c r="A85" t="s">
        <v>172</v>
      </c>
      <c r="B85" t="s">
        <v>173</v>
      </c>
      <c r="C85">
        <v>0.23069999999999999</v>
      </c>
      <c r="D85">
        <v>0.38</v>
      </c>
      <c r="E85">
        <v>0.55000000000000004</v>
      </c>
      <c r="F85">
        <v>3.05</v>
      </c>
      <c r="G85">
        <v>1.3267</v>
      </c>
      <c r="H85" t="s">
        <v>36</v>
      </c>
    </row>
    <row r="86" spans="1:8" x14ac:dyDescent="0.3">
      <c r="A86" t="s">
        <v>174</v>
      </c>
      <c r="B86" t="s">
        <v>175</v>
      </c>
      <c r="C86">
        <v>8.3960000000000007E-2</v>
      </c>
      <c r="D86">
        <v>0.32</v>
      </c>
      <c r="E86">
        <v>1.42</v>
      </c>
      <c r="F86">
        <v>2.2400000000000002</v>
      </c>
      <c r="G86">
        <v>1.3267</v>
      </c>
      <c r="H86" t="s">
        <v>36</v>
      </c>
    </row>
    <row r="87" spans="1:8" x14ac:dyDescent="0.3">
      <c r="A87" t="s">
        <v>176</v>
      </c>
      <c r="B87" t="s">
        <v>177</v>
      </c>
      <c r="C87">
        <v>1.51</v>
      </c>
      <c r="D87">
        <v>0.25</v>
      </c>
      <c r="E87">
        <v>1.18</v>
      </c>
      <c r="F87">
        <v>2.56</v>
      </c>
      <c r="G87">
        <v>1.33</v>
      </c>
      <c r="H87" t="s">
        <v>10</v>
      </c>
    </row>
    <row r="88" spans="1:8" x14ac:dyDescent="0.3">
      <c r="A88" t="s">
        <v>178</v>
      </c>
      <c r="B88" t="s">
        <v>179</v>
      </c>
      <c r="C88">
        <v>1.243E-3</v>
      </c>
      <c r="D88">
        <v>0.05</v>
      </c>
      <c r="E88">
        <v>1.1000000000000001</v>
      </c>
      <c r="F88">
        <v>2.98</v>
      </c>
      <c r="G88">
        <v>1.3767</v>
      </c>
      <c r="H88" t="s">
        <v>52</v>
      </c>
    </row>
    <row r="89" spans="1:8" x14ac:dyDescent="0.3">
      <c r="A89" t="s">
        <v>180</v>
      </c>
      <c r="B89" t="s">
        <v>181</v>
      </c>
      <c r="C89">
        <v>4.4710000000000001E-3</v>
      </c>
      <c r="D89">
        <v>0.11</v>
      </c>
      <c r="E89">
        <v>2.17</v>
      </c>
      <c r="F89">
        <v>1.92</v>
      </c>
      <c r="G89">
        <v>1.4</v>
      </c>
      <c r="H89" t="s">
        <v>52</v>
      </c>
    </row>
    <row r="90" spans="1:8" x14ac:dyDescent="0.3">
      <c r="A90" t="s">
        <v>182</v>
      </c>
      <c r="B90" t="s">
        <v>183</v>
      </c>
      <c r="C90">
        <v>0.37419999999999998</v>
      </c>
      <c r="D90">
        <v>0.35</v>
      </c>
      <c r="E90">
        <v>3.62</v>
      </c>
      <c r="F90">
        <v>0.27</v>
      </c>
      <c r="G90">
        <v>1.4133</v>
      </c>
      <c r="H90" t="s">
        <v>36</v>
      </c>
    </row>
    <row r="91" spans="1:8" x14ac:dyDescent="0.3">
      <c r="A91" t="s">
        <v>184</v>
      </c>
      <c r="B91" t="s">
        <v>185</v>
      </c>
      <c r="C91">
        <v>1.686E-2</v>
      </c>
      <c r="D91">
        <v>0.65</v>
      </c>
      <c r="E91">
        <v>0.97</v>
      </c>
      <c r="F91">
        <v>2.68</v>
      </c>
      <c r="G91">
        <v>1.4333</v>
      </c>
      <c r="H91" t="s">
        <v>52</v>
      </c>
    </row>
    <row r="92" spans="1:8" x14ac:dyDescent="0.3">
      <c r="A92" t="s">
        <v>186</v>
      </c>
      <c r="B92" t="s">
        <v>187</v>
      </c>
      <c r="C92">
        <v>0.75380000000000003</v>
      </c>
      <c r="D92">
        <v>0.4</v>
      </c>
      <c r="E92">
        <v>0.31</v>
      </c>
      <c r="F92">
        <v>3.6</v>
      </c>
      <c r="G92">
        <v>1.4367000000000001</v>
      </c>
      <c r="H92" t="s">
        <v>10</v>
      </c>
    </row>
    <row r="93" spans="1:8" x14ac:dyDescent="0.3">
      <c r="A93" t="s">
        <v>188</v>
      </c>
      <c r="B93" t="s">
        <v>189</v>
      </c>
      <c r="C93">
        <v>200.2</v>
      </c>
      <c r="D93">
        <v>0.45</v>
      </c>
      <c r="E93">
        <v>0.83</v>
      </c>
      <c r="F93">
        <v>3.13</v>
      </c>
      <c r="G93">
        <v>1.47</v>
      </c>
      <c r="H93" t="s">
        <v>73</v>
      </c>
    </row>
    <row r="94" spans="1:8" x14ac:dyDescent="0.3">
      <c r="A94" t="s">
        <v>190</v>
      </c>
      <c r="B94" t="s">
        <v>190</v>
      </c>
      <c r="C94">
        <v>82.05</v>
      </c>
      <c r="D94">
        <v>0.1</v>
      </c>
      <c r="E94">
        <v>0.59</v>
      </c>
      <c r="F94">
        <v>3.8</v>
      </c>
      <c r="G94">
        <v>1.4966999999999999</v>
      </c>
      <c r="H94" t="s">
        <v>73</v>
      </c>
    </row>
    <row r="95" spans="1:8" x14ac:dyDescent="0.3">
      <c r="A95" t="s">
        <v>191</v>
      </c>
      <c r="B95" t="s">
        <v>192</v>
      </c>
      <c r="C95">
        <v>0.61470000000000002</v>
      </c>
      <c r="D95">
        <v>0.78</v>
      </c>
      <c r="E95">
        <v>0.62</v>
      </c>
      <c r="F95">
        <v>3.18</v>
      </c>
      <c r="G95">
        <v>1.5266999999999999</v>
      </c>
      <c r="H95" t="s">
        <v>10</v>
      </c>
    </row>
    <row r="96" spans="1:8" x14ac:dyDescent="0.3">
      <c r="A96" t="s">
        <v>193</v>
      </c>
      <c r="B96" t="s">
        <v>194</v>
      </c>
      <c r="C96">
        <v>2.17</v>
      </c>
      <c r="D96">
        <v>0.37</v>
      </c>
      <c r="E96">
        <v>1.24</v>
      </c>
      <c r="F96">
        <v>2.98</v>
      </c>
      <c r="G96">
        <v>1.53</v>
      </c>
      <c r="H96" t="s">
        <v>10</v>
      </c>
    </row>
    <row r="97" spans="1:8" x14ac:dyDescent="0.3">
      <c r="A97" t="s">
        <v>195</v>
      </c>
      <c r="B97" t="s">
        <v>196</v>
      </c>
      <c r="C97">
        <v>3.1109999999999999E-2</v>
      </c>
      <c r="D97">
        <v>0.51</v>
      </c>
      <c r="E97">
        <v>0.23</v>
      </c>
      <c r="F97">
        <v>3.85</v>
      </c>
      <c r="G97">
        <v>1.53</v>
      </c>
      <c r="H97" t="s">
        <v>52</v>
      </c>
    </row>
    <row r="98" spans="1:8" x14ac:dyDescent="0.3">
      <c r="A98" t="s">
        <v>197</v>
      </c>
      <c r="B98" t="s">
        <v>198</v>
      </c>
      <c r="C98">
        <v>0.55200000000000005</v>
      </c>
      <c r="D98">
        <v>0.57999999999999996</v>
      </c>
      <c r="E98">
        <v>2.61</v>
      </c>
      <c r="F98">
        <v>1.45</v>
      </c>
      <c r="G98">
        <v>1.5467</v>
      </c>
      <c r="H98" t="s">
        <v>10</v>
      </c>
    </row>
    <row r="99" spans="1:8" x14ac:dyDescent="0.3">
      <c r="A99" t="s">
        <v>199</v>
      </c>
      <c r="B99" t="s">
        <v>199</v>
      </c>
      <c r="C99">
        <v>0.16400000000000001</v>
      </c>
      <c r="D99">
        <v>0.21</v>
      </c>
      <c r="E99">
        <v>1.59</v>
      </c>
      <c r="F99">
        <v>2.94</v>
      </c>
      <c r="G99">
        <v>1.58</v>
      </c>
      <c r="H99" t="s">
        <v>36</v>
      </c>
    </row>
    <row r="100" spans="1:8" x14ac:dyDescent="0.3">
      <c r="A100" t="s">
        <v>200</v>
      </c>
      <c r="B100" t="s">
        <v>201</v>
      </c>
      <c r="C100">
        <v>0.57769999999999999</v>
      </c>
      <c r="D100">
        <v>0.31</v>
      </c>
      <c r="E100">
        <v>2.09</v>
      </c>
      <c r="F100">
        <v>2.4</v>
      </c>
      <c r="G100">
        <v>1.6</v>
      </c>
      <c r="H100" t="s">
        <v>10</v>
      </c>
    </row>
    <row r="101" spans="1:8" x14ac:dyDescent="0.3">
      <c r="A101" t="s">
        <v>202</v>
      </c>
      <c r="B101" t="s">
        <v>203</v>
      </c>
      <c r="C101">
        <v>7.0480000000000001E-2</v>
      </c>
      <c r="D101">
        <v>0.02</v>
      </c>
      <c r="E101">
        <v>0.43</v>
      </c>
      <c r="F101">
        <v>4.37</v>
      </c>
      <c r="G101">
        <v>1.6067</v>
      </c>
      <c r="H101" t="s">
        <v>36</v>
      </c>
    </row>
    <row r="102" spans="1:8" x14ac:dyDescent="0.3">
      <c r="A102" t="s">
        <v>204</v>
      </c>
      <c r="B102" t="s">
        <v>204</v>
      </c>
      <c r="C102">
        <v>2.1999999999999999E-5</v>
      </c>
      <c r="D102">
        <v>0.22</v>
      </c>
      <c r="E102">
        <v>1.18</v>
      </c>
      <c r="F102">
        <v>3.53</v>
      </c>
      <c r="G102">
        <v>1.6433</v>
      </c>
      <c r="H102" t="s">
        <v>52</v>
      </c>
    </row>
    <row r="103" spans="1:8" x14ac:dyDescent="0.3">
      <c r="A103" t="s">
        <v>205</v>
      </c>
      <c r="B103" t="s">
        <v>206</v>
      </c>
      <c r="C103">
        <v>6.0000000000000002E-5</v>
      </c>
      <c r="D103">
        <v>0.02</v>
      </c>
      <c r="E103">
        <v>1.0900000000000001</v>
      </c>
      <c r="F103">
        <v>3.93</v>
      </c>
      <c r="G103">
        <v>1.68</v>
      </c>
      <c r="H103" t="s">
        <v>52</v>
      </c>
    </row>
    <row r="104" spans="1:8" x14ac:dyDescent="0.3">
      <c r="A104" t="s">
        <v>207</v>
      </c>
      <c r="B104" t="s">
        <v>208</v>
      </c>
      <c r="C104">
        <v>8.1100000000000005E-2</v>
      </c>
      <c r="D104">
        <v>0.13</v>
      </c>
      <c r="E104">
        <v>0.78</v>
      </c>
      <c r="F104">
        <v>4.13</v>
      </c>
      <c r="G104">
        <v>1.68</v>
      </c>
      <c r="H104" t="s">
        <v>36</v>
      </c>
    </row>
    <row r="105" spans="1:8" x14ac:dyDescent="0.3">
      <c r="A105" t="s">
        <v>209</v>
      </c>
      <c r="B105" t="s">
        <v>210</v>
      </c>
      <c r="C105">
        <v>0.22770000000000001</v>
      </c>
      <c r="D105">
        <v>0.3</v>
      </c>
      <c r="E105">
        <v>3.02</v>
      </c>
      <c r="F105">
        <v>1.76</v>
      </c>
      <c r="G105">
        <v>1.6933</v>
      </c>
      <c r="H105" t="s">
        <v>36</v>
      </c>
    </row>
    <row r="106" spans="1:8" x14ac:dyDescent="0.3">
      <c r="A106" t="s">
        <v>211</v>
      </c>
      <c r="B106" t="s">
        <v>212</v>
      </c>
      <c r="C106">
        <v>6.9330000000000003E-2</v>
      </c>
      <c r="D106">
        <v>0.13</v>
      </c>
      <c r="E106">
        <v>1.36</v>
      </c>
      <c r="F106">
        <v>3.68</v>
      </c>
      <c r="G106">
        <v>1.7233000000000001</v>
      </c>
      <c r="H106" t="s">
        <v>36</v>
      </c>
    </row>
    <row r="107" spans="1:8" x14ac:dyDescent="0.3">
      <c r="A107" t="s">
        <v>213</v>
      </c>
      <c r="B107" t="s">
        <v>214</v>
      </c>
      <c r="C107">
        <v>7.5039999999999996E-2</v>
      </c>
      <c r="D107">
        <v>0.15</v>
      </c>
      <c r="E107">
        <v>0.12</v>
      </c>
      <c r="F107">
        <v>5.01</v>
      </c>
      <c r="G107">
        <v>1.76</v>
      </c>
      <c r="H107" t="s">
        <v>36</v>
      </c>
    </row>
    <row r="108" spans="1:8" x14ac:dyDescent="0.3">
      <c r="A108" t="s">
        <v>215</v>
      </c>
      <c r="B108" t="s">
        <v>216</v>
      </c>
      <c r="C108">
        <v>2.1549999999999998E-3</v>
      </c>
      <c r="D108">
        <v>0.21</v>
      </c>
      <c r="E108">
        <v>1.8</v>
      </c>
      <c r="F108">
        <v>3.38</v>
      </c>
      <c r="G108">
        <v>1.7967</v>
      </c>
      <c r="H108" t="s">
        <v>52</v>
      </c>
    </row>
    <row r="109" spans="1:8" x14ac:dyDescent="0.3">
      <c r="A109" t="s">
        <v>217</v>
      </c>
      <c r="B109" t="s">
        <v>218</v>
      </c>
      <c r="C109">
        <v>0.40989999999999999</v>
      </c>
      <c r="D109">
        <v>1.07</v>
      </c>
      <c r="E109">
        <v>0.74</v>
      </c>
      <c r="F109">
        <v>3.69</v>
      </c>
      <c r="G109">
        <v>1.8332999999999999</v>
      </c>
      <c r="H109" t="s">
        <v>36</v>
      </c>
    </row>
    <row r="110" spans="1:8" x14ac:dyDescent="0.3">
      <c r="A110" t="s">
        <v>219</v>
      </c>
      <c r="B110" t="s">
        <v>220</v>
      </c>
      <c r="C110">
        <v>8.7190000000000004E-2</v>
      </c>
      <c r="D110">
        <v>0.69</v>
      </c>
      <c r="E110">
        <v>2.94</v>
      </c>
      <c r="F110">
        <v>1.91</v>
      </c>
      <c r="G110">
        <v>1.8467</v>
      </c>
      <c r="H110" t="s">
        <v>36</v>
      </c>
    </row>
    <row r="111" spans="1:8" x14ac:dyDescent="0.3">
      <c r="A111" t="s">
        <v>221</v>
      </c>
      <c r="B111" t="s">
        <v>222</v>
      </c>
      <c r="C111">
        <v>6.7460000000000006E-2</v>
      </c>
      <c r="D111">
        <v>0.16</v>
      </c>
      <c r="E111">
        <v>0.51</v>
      </c>
      <c r="F111">
        <v>4.87</v>
      </c>
      <c r="G111">
        <v>1.8467</v>
      </c>
      <c r="H111" t="s">
        <v>36</v>
      </c>
    </row>
    <row r="112" spans="1:8" x14ac:dyDescent="0.3">
      <c r="A112" t="s">
        <v>223</v>
      </c>
      <c r="B112" t="s">
        <v>224</v>
      </c>
      <c r="C112">
        <v>0.2409</v>
      </c>
      <c r="D112">
        <v>0.82</v>
      </c>
      <c r="E112">
        <v>2.25</v>
      </c>
      <c r="F112">
        <v>2.5299999999999998</v>
      </c>
      <c r="G112">
        <v>1.8667</v>
      </c>
      <c r="H112" t="s">
        <v>36</v>
      </c>
    </row>
    <row r="113" spans="1:8" x14ac:dyDescent="0.3">
      <c r="A113" t="s">
        <v>225</v>
      </c>
      <c r="B113" t="s">
        <v>226</v>
      </c>
      <c r="C113">
        <v>4.3099999999999996</v>
      </c>
      <c r="D113">
        <v>0.08</v>
      </c>
      <c r="E113">
        <v>1.9</v>
      </c>
      <c r="F113">
        <v>3.72</v>
      </c>
      <c r="G113">
        <v>1.9</v>
      </c>
      <c r="H113" t="s">
        <v>10</v>
      </c>
    </row>
    <row r="114" spans="1:8" x14ac:dyDescent="0.3">
      <c r="A114" t="s">
        <v>227</v>
      </c>
      <c r="B114" t="s">
        <v>228</v>
      </c>
      <c r="C114">
        <v>0.2225</v>
      </c>
      <c r="D114">
        <v>0.28000000000000003</v>
      </c>
      <c r="E114">
        <v>0.06</v>
      </c>
      <c r="F114">
        <v>5.42</v>
      </c>
      <c r="G114">
        <v>1.92</v>
      </c>
      <c r="H114" t="s">
        <v>36</v>
      </c>
    </row>
    <row r="115" spans="1:8" x14ac:dyDescent="0.3">
      <c r="A115" t="s">
        <v>229</v>
      </c>
      <c r="B115" t="s">
        <v>230</v>
      </c>
      <c r="C115">
        <v>0.28239999999999998</v>
      </c>
      <c r="D115">
        <v>0</v>
      </c>
      <c r="E115">
        <v>0.77</v>
      </c>
      <c r="F115">
        <v>5.17</v>
      </c>
      <c r="G115">
        <v>1.98</v>
      </c>
      <c r="H115" t="s">
        <v>36</v>
      </c>
    </row>
    <row r="116" spans="1:8" x14ac:dyDescent="0.3">
      <c r="A116" t="s">
        <v>231</v>
      </c>
      <c r="B116" t="s">
        <v>232</v>
      </c>
      <c r="C116">
        <v>3.6810000000000002E-2</v>
      </c>
      <c r="D116">
        <v>0.15</v>
      </c>
      <c r="E116">
        <v>1.54</v>
      </c>
      <c r="F116">
        <v>4.57</v>
      </c>
      <c r="G116">
        <v>2.0867</v>
      </c>
      <c r="H116" t="s">
        <v>52</v>
      </c>
    </row>
    <row r="117" spans="1:8" x14ac:dyDescent="0.3">
      <c r="A117" t="s">
        <v>233</v>
      </c>
      <c r="B117" t="s">
        <v>234</v>
      </c>
      <c r="C117">
        <v>4.3930000000000002E-3</v>
      </c>
      <c r="D117">
        <v>0.88</v>
      </c>
      <c r="E117">
        <v>3.86</v>
      </c>
      <c r="F117">
        <v>1.62</v>
      </c>
      <c r="G117">
        <v>2.12</v>
      </c>
      <c r="H117" t="s">
        <v>52</v>
      </c>
    </row>
    <row r="118" spans="1:8" x14ac:dyDescent="0.3">
      <c r="A118" t="s">
        <v>235</v>
      </c>
      <c r="B118" t="s">
        <v>236</v>
      </c>
      <c r="C118">
        <v>2.12</v>
      </c>
      <c r="D118">
        <v>0.04</v>
      </c>
      <c r="E118">
        <v>3.14</v>
      </c>
      <c r="F118">
        <v>3.41</v>
      </c>
      <c r="G118">
        <v>2.1966999999999999</v>
      </c>
      <c r="H118" t="s">
        <v>10</v>
      </c>
    </row>
    <row r="119" spans="1:8" x14ac:dyDescent="0.3">
      <c r="A119" t="s">
        <v>237</v>
      </c>
      <c r="B119" t="s">
        <v>238</v>
      </c>
      <c r="C119">
        <v>3.6679999999999998E-3</v>
      </c>
      <c r="D119">
        <v>0.75</v>
      </c>
      <c r="E119">
        <v>3.17</v>
      </c>
      <c r="F119">
        <v>2.69</v>
      </c>
      <c r="G119">
        <v>2.2033</v>
      </c>
      <c r="H119" t="s">
        <v>52</v>
      </c>
    </row>
    <row r="120" spans="1:8" x14ac:dyDescent="0.3">
      <c r="A120" t="s">
        <v>239</v>
      </c>
      <c r="B120" t="s">
        <v>240</v>
      </c>
      <c r="C120">
        <v>5.2763999999999998E-2</v>
      </c>
      <c r="D120">
        <v>0.76</v>
      </c>
      <c r="E120">
        <v>1.07</v>
      </c>
      <c r="F120">
        <v>4.97</v>
      </c>
      <c r="G120">
        <v>2.2667000000000002</v>
      </c>
      <c r="H120" t="s">
        <v>36</v>
      </c>
    </row>
    <row r="121" spans="1:8" x14ac:dyDescent="0.3">
      <c r="A121" t="s">
        <v>241</v>
      </c>
      <c r="B121" t="s">
        <v>242</v>
      </c>
      <c r="C121">
        <v>1.342E-2</v>
      </c>
      <c r="D121">
        <v>0.36</v>
      </c>
      <c r="E121">
        <v>1.93</v>
      </c>
      <c r="F121">
        <v>4.54</v>
      </c>
      <c r="G121">
        <v>2.2766999999999999</v>
      </c>
      <c r="H121" t="s">
        <v>52</v>
      </c>
    </row>
    <row r="122" spans="1:8" x14ac:dyDescent="0.3">
      <c r="A122" t="s">
        <v>243</v>
      </c>
      <c r="B122" t="s">
        <v>244</v>
      </c>
      <c r="C122">
        <v>3.1</v>
      </c>
      <c r="D122">
        <v>0.56999999999999995</v>
      </c>
      <c r="E122">
        <v>4.74</v>
      </c>
      <c r="F122">
        <v>1.55</v>
      </c>
      <c r="G122">
        <v>2.2867000000000002</v>
      </c>
      <c r="H122" t="s">
        <v>10</v>
      </c>
    </row>
    <row r="123" spans="1:8" x14ac:dyDescent="0.3">
      <c r="A123" t="s">
        <v>245</v>
      </c>
      <c r="B123" t="s">
        <v>246</v>
      </c>
      <c r="C123">
        <v>2.0040000000000001E-3</v>
      </c>
      <c r="D123">
        <v>0.48</v>
      </c>
      <c r="E123">
        <v>1.17</v>
      </c>
      <c r="F123">
        <v>5.35</v>
      </c>
      <c r="G123">
        <v>2.3332999999999999</v>
      </c>
      <c r="H123" t="s">
        <v>52</v>
      </c>
    </row>
    <row r="124" spans="1:8" x14ac:dyDescent="0.3">
      <c r="A124" t="s">
        <v>247</v>
      </c>
      <c r="B124" t="s">
        <v>248</v>
      </c>
      <c r="C124">
        <v>1.6440000000000001E-3</v>
      </c>
      <c r="D124">
        <v>0.06</v>
      </c>
      <c r="E124">
        <v>4.5599999999999996</v>
      </c>
      <c r="F124">
        <v>2.5499999999999998</v>
      </c>
      <c r="G124">
        <v>2.39</v>
      </c>
      <c r="H124" t="s">
        <v>52</v>
      </c>
    </row>
    <row r="125" spans="1:8" x14ac:dyDescent="0.3">
      <c r="A125" t="s">
        <v>249</v>
      </c>
      <c r="B125" t="s">
        <v>250</v>
      </c>
      <c r="C125">
        <v>0.39829999999999999</v>
      </c>
      <c r="D125">
        <v>0.97</v>
      </c>
      <c r="E125">
        <v>3</v>
      </c>
      <c r="F125">
        <v>3.31</v>
      </c>
      <c r="G125">
        <v>2.4266999999999999</v>
      </c>
      <c r="H125" t="s">
        <v>36</v>
      </c>
    </row>
    <row r="126" spans="1:8" x14ac:dyDescent="0.3">
      <c r="A126" t="s">
        <v>251</v>
      </c>
      <c r="B126" t="s">
        <v>252</v>
      </c>
      <c r="C126">
        <v>0.33789999999999998</v>
      </c>
      <c r="D126">
        <v>0.87</v>
      </c>
      <c r="E126">
        <v>2.87</v>
      </c>
      <c r="F126">
        <v>3.67</v>
      </c>
      <c r="G126">
        <v>2.4700000000000002</v>
      </c>
      <c r="H126" t="s">
        <v>36</v>
      </c>
    </row>
    <row r="127" spans="1:8" x14ac:dyDescent="0.3">
      <c r="A127" t="s">
        <v>253</v>
      </c>
      <c r="B127" t="s">
        <v>254</v>
      </c>
      <c r="C127">
        <v>4.32</v>
      </c>
      <c r="D127">
        <v>0.84</v>
      </c>
      <c r="E127">
        <v>1.86</v>
      </c>
      <c r="F127">
        <v>4.72</v>
      </c>
      <c r="G127">
        <v>2.4733000000000001</v>
      </c>
      <c r="H127" t="s">
        <v>10</v>
      </c>
    </row>
    <row r="128" spans="1:8" x14ac:dyDescent="0.3">
      <c r="A128" t="s">
        <v>255</v>
      </c>
      <c r="B128" t="s">
        <v>256</v>
      </c>
      <c r="C128">
        <v>0.1305</v>
      </c>
      <c r="D128">
        <v>0.22</v>
      </c>
      <c r="E128">
        <v>0.66</v>
      </c>
      <c r="F128">
        <v>6.59</v>
      </c>
      <c r="G128">
        <v>2.4900000000000002</v>
      </c>
      <c r="H128" t="s">
        <v>36</v>
      </c>
    </row>
    <row r="129" spans="1:8" x14ac:dyDescent="0.3">
      <c r="A129" t="s">
        <v>257</v>
      </c>
      <c r="B129" t="s">
        <v>257</v>
      </c>
      <c r="C129">
        <v>0.73219999999999996</v>
      </c>
      <c r="D129">
        <v>0.47</v>
      </c>
      <c r="E129">
        <v>3.04</v>
      </c>
      <c r="F129">
        <v>4.03</v>
      </c>
      <c r="G129">
        <v>2.5133000000000001</v>
      </c>
      <c r="H129" t="s">
        <v>10</v>
      </c>
    </row>
    <row r="130" spans="1:8" x14ac:dyDescent="0.3">
      <c r="A130" t="s">
        <v>258</v>
      </c>
      <c r="B130" t="s">
        <v>259</v>
      </c>
      <c r="C130">
        <v>0.18909999999999999</v>
      </c>
      <c r="D130">
        <v>0.6</v>
      </c>
      <c r="E130">
        <v>2.82</v>
      </c>
      <c r="F130">
        <v>4.16</v>
      </c>
      <c r="G130">
        <v>2.5266999999999999</v>
      </c>
      <c r="H130" t="s">
        <v>36</v>
      </c>
    </row>
    <row r="131" spans="1:8" x14ac:dyDescent="0.3">
      <c r="A131" t="s">
        <v>260</v>
      </c>
      <c r="B131" t="s">
        <v>261</v>
      </c>
      <c r="C131">
        <v>3.5060000000000001E-2</v>
      </c>
      <c r="D131">
        <v>7.0000000000000007E-2</v>
      </c>
      <c r="E131">
        <v>2.9</v>
      </c>
      <c r="F131">
        <v>4.7300000000000004</v>
      </c>
      <c r="G131">
        <v>2.5667</v>
      </c>
      <c r="H131" t="s">
        <v>52</v>
      </c>
    </row>
    <row r="132" spans="1:8" x14ac:dyDescent="0.3">
      <c r="A132" t="s">
        <v>262</v>
      </c>
      <c r="B132" t="s">
        <v>263</v>
      </c>
      <c r="C132">
        <v>2.0499999999999998</v>
      </c>
      <c r="D132">
        <v>0.02</v>
      </c>
      <c r="E132">
        <v>1.1399999999999999</v>
      </c>
      <c r="F132">
        <v>6.62</v>
      </c>
      <c r="G132">
        <v>2.5933000000000002</v>
      </c>
      <c r="H132" t="s">
        <v>10</v>
      </c>
    </row>
    <row r="133" spans="1:8" x14ac:dyDescent="0.3">
      <c r="A133" t="s">
        <v>264</v>
      </c>
      <c r="B133" t="s">
        <v>265</v>
      </c>
      <c r="C133">
        <v>1.61</v>
      </c>
      <c r="D133">
        <v>7.0000000000000007E-2</v>
      </c>
      <c r="E133">
        <v>4</v>
      </c>
      <c r="F133">
        <v>3.71</v>
      </c>
      <c r="G133">
        <v>2.5933000000000002</v>
      </c>
      <c r="H133" t="s">
        <v>10</v>
      </c>
    </row>
    <row r="134" spans="1:8" x14ac:dyDescent="0.3">
      <c r="A134" t="s">
        <v>266</v>
      </c>
      <c r="B134" t="s">
        <v>267</v>
      </c>
      <c r="C134">
        <v>1.5989999999999999E-3</v>
      </c>
      <c r="D134">
        <v>0.53</v>
      </c>
      <c r="E134">
        <v>2.33</v>
      </c>
      <c r="F134">
        <v>5.01</v>
      </c>
      <c r="G134">
        <v>2.6233</v>
      </c>
      <c r="H134" t="s">
        <v>52</v>
      </c>
    </row>
    <row r="135" spans="1:8" x14ac:dyDescent="0.3">
      <c r="A135" t="s">
        <v>268</v>
      </c>
      <c r="B135" t="s">
        <v>269</v>
      </c>
      <c r="C135">
        <v>17.559999999999999</v>
      </c>
      <c r="D135">
        <v>1.01</v>
      </c>
      <c r="E135">
        <v>3.43</v>
      </c>
      <c r="F135">
        <v>3.54</v>
      </c>
      <c r="G135">
        <v>2.66</v>
      </c>
      <c r="H135" t="s">
        <v>33</v>
      </c>
    </row>
    <row r="136" spans="1:8" x14ac:dyDescent="0.3">
      <c r="A136" t="s">
        <v>270</v>
      </c>
      <c r="B136" t="s">
        <v>271</v>
      </c>
      <c r="C136">
        <v>2.8729999999999999E-2</v>
      </c>
      <c r="D136">
        <v>0.55000000000000004</v>
      </c>
      <c r="E136">
        <v>0.4</v>
      </c>
      <c r="F136">
        <v>7.03</v>
      </c>
      <c r="G136">
        <v>2.66</v>
      </c>
      <c r="H136" t="s">
        <v>52</v>
      </c>
    </row>
    <row r="137" spans="1:8" x14ac:dyDescent="0.3">
      <c r="A137" t="s">
        <v>272</v>
      </c>
      <c r="B137" t="s">
        <v>273</v>
      </c>
      <c r="C137">
        <v>0.1515</v>
      </c>
      <c r="D137">
        <v>0.36</v>
      </c>
      <c r="E137">
        <v>1.84</v>
      </c>
      <c r="F137">
        <v>5.79</v>
      </c>
      <c r="G137">
        <v>2.6633</v>
      </c>
      <c r="H137" t="s">
        <v>36</v>
      </c>
    </row>
    <row r="138" spans="1:8" x14ac:dyDescent="0.3">
      <c r="A138" t="s">
        <v>274</v>
      </c>
      <c r="B138" t="s">
        <v>275</v>
      </c>
      <c r="C138">
        <v>0.20569999999999999</v>
      </c>
      <c r="D138">
        <v>0.75</v>
      </c>
      <c r="E138">
        <v>2.97</v>
      </c>
      <c r="F138">
        <v>4.28</v>
      </c>
      <c r="G138">
        <v>2.6667000000000001</v>
      </c>
      <c r="H138" t="s">
        <v>36</v>
      </c>
    </row>
    <row r="139" spans="1:8" x14ac:dyDescent="0.3">
      <c r="A139" t="s">
        <v>276</v>
      </c>
      <c r="B139" t="s">
        <v>277</v>
      </c>
      <c r="C139">
        <v>2.9389999999999999E-2</v>
      </c>
      <c r="D139">
        <v>0.11</v>
      </c>
      <c r="E139">
        <v>0.25</v>
      </c>
      <c r="F139">
        <v>8.0399999999999991</v>
      </c>
      <c r="G139">
        <v>2.8</v>
      </c>
      <c r="H139" t="s">
        <v>52</v>
      </c>
    </row>
    <row r="140" spans="1:8" x14ac:dyDescent="0.3">
      <c r="A140" t="s">
        <v>278</v>
      </c>
      <c r="B140" t="s">
        <v>279</v>
      </c>
      <c r="C140">
        <v>0.36230000000000001</v>
      </c>
      <c r="D140">
        <v>0.1</v>
      </c>
      <c r="E140">
        <v>2.02</v>
      </c>
      <c r="F140">
        <v>6.32</v>
      </c>
      <c r="G140">
        <v>2.8132999999999999</v>
      </c>
      <c r="H140" t="s">
        <v>36</v>
      </c>
    </row>
    <row r="141" spans="1:8" x14ac:dyDescent="0.3">
      <c r="A141" t="s">
        <v>280</v>
      </c>
      <c r="B141" t="s">
        <v>281</v>
      </c>
      <c r="C141">
        <v>115.26</v>
      </c>
      <c r="D141">
        <v>0.76</v>
      </c>
      <c r="E141">
        <v>0.14000000000000001</v>
      </c>
      <c r="F141">
        <v>7.76</v>
      </c>
      <c r="G141">
        <v>2.8866999999999998</v>
      </c>
      <c r="H141" t="s">
        <v>73</v>
      </c>
    </row>
    <row r="142" spans="1:8" x14ac:dyDescent="0.3">
      <c r="A142" t="s">
        <v>282</v>
      </c>
      <c r="B142" t="s">
        <v>283</v>
      </c>
      <c r="C142">
        <v>1.7919999999999998E-2</v>
      </c>
      <c r="D142">
        <v>0.78</v>
      </c>
      <c r="E142">
        <v>4.7699999999999996</v>
      </c>
      <c r="F142">
        <v>3.21</v>
      </c>
      <c r="G142">
        <v>2.92</v>
      </c>
      <c r="H142" t="s">
        <v>52</v>
      </c>
    </row>
    <row r="143" spans="1:8" x14ac:dyDescent="0.3">
      <c r="A143" t="s">
        <v>284</v>
      </c>
      <c r="B143" t="s">
        <v>285</v>
      </c>
      <c r="C143">
        <v>2.23E-2</v>
      </c>
      <c r="D143">
        <v>0.55000000000000004</v>
      </c>
      <c r="E143">
        <v>2.8</v>
      </c>
      <c r="F143">
        <v>5.49</v>
      </c>
      <c r="G143">
        <v>2.9466999999999999</v>
      </c>
      <c r="H143" t="s">
        <v>52</v>
      </c>
    </row>
    <row r="144" spans="1:8" x14ac:dyDescent="0.3">
      <c r="A144" t="s">
        <v>286</v>
      </c>
      <c r="B144" t="s">
        <v>287</v>
      </c>
      <c r="C144">
        <v>0.2157</v>
      </c>
      <c r="D144">
        <v>0.73</v>
      </c>
      <c r="E144">
        <v>2.31</v>
      </c>
      <c r="F144">
        <v>5.82</v>
      </c>
      <c r="G144">
        <v>2.9533</v>
      </c>
      <c r="H144" t="s">
        <v>36</v>
      </c>
    </row>
    <row r="145" spans="1:8" x14ac:dyDescent="0.3">
      <c r="A145" t="s">
        <v>288</v>
      </c>
      <c r="B145" t="s">
        <v>289</v>
      </c>
      <c r="C145">
        <v>0.42220000000000002</v>
      </c>
      <c r="D145">
        <v>0.27</v>
      </c>
      <c r="E145">
        <v>0.52</v>
      </c>
      <c r="F145">
        <v>8.31</v>
      </c>
      <c r="G145">
        <v>3.0333000000000001</v>
      </c>
      <c r="H145" t="s">
        <v>36</v>
      </c>
    </row>
    <row r="146" spans="1:8" x14ac:dyDescent="0.3">
      <c r="A146" t="s">
        <v>290</v>
      </c>
      <c r="B146" t="s">
        <v>291</v>
      </c>
      <c r="C146">
        <v>3.68</v>
      </c>
      <c r="D146">
        <v>0.32</v>
      </c>
      <c r="E146">
        <v>0.82</v>
      </c>
      <c r="F146">
        <v>7.98</v>
      </c>
      <c r="G146">
        <v>3.04</v>
      </c>
      <c r="H146" t="s">
        <v>10</v>
      </c>
    </row>
    <row r="147" spans="1:8" x14ac:dyDescent="0.3">
      <c r="A147" t="s">
        <v>292</v>
      </c>
      <c r="B147" t="s">
        <v>293</v>
      </c>
      <c r="C147">
        <v>0.14810000000000001</v>
      </c>
      <c r="D147">
        <v>0.17</v>
      </c>
      <c r="E147">
        <v>1.96</v>
      </c>
      <c r="F147">
        <v>7.21</v>
      </c>
      <c r="G147">
        <v>3.1133000000000002</v>
      </c>
      <c r="H147" t="s">
        <v>36</v>
      </c>
    </row>
    <row r="148" spans="1:8" x14ac:dyDescent="0.3">
      <c r="A148" t="s">
        <v>294</v>
      </c>
      <c r="B148" t="s">
        <v>295</v>
      </c>
      <c r="C148">
        <v>8.2879999999999995E-2</v>
      </c>
      <c r="D148">
        <v>7.0000000000000007E-2</v>
      </c>
      <c r="E148">
        <v>0.83</v>
      </c>
      <c r="F148">
        <v>8.5299999999999994</v>
      </c>
      <c r="G148">
        <v>3.1433</v>
      </c>
      <c r="H148" t="s">
        <v>36</v>
      </c>
    </row>
    <row r="149" spans="1:8" x14ac:dyDescent="0.3">
      <c r="A149" t="s">
        <v>296</v>
      </c>
      <c r="B149" t="s">
        <v>297</v>
      </c>
      <c r="C149">
        <v>2.41</v>
      </c>
      <c r="D149">
        <v>1.39</v>
      </c>
      <c r="E149">
        <v>6.66</v>
      </c>
      <c r="F149">
        <v>1.57</v>
      </c>
      <c r="G149">
        <v>3.2067000000000001</v>
      </c>
      <c r="H149" t="s">
        <v>10</v>
      </c>
    </row>
    <row r="150" spans="1:8" x14ac:dyDescent="0.3">
      <c r="A150" t="s">
        <v>298</v>
      </c>
      <c r="B150" t="s">
        <v>299</v>
      </c>
      <c r="C150">
        <v>4.5749999999999999E-2</v>
      </c>
      <c r="D150">
        <v>0.16</v>
      </c>
      <c r="E150">
        <v>1.94</v>
      </c>
      <c r="F150">
        <v>7.63</v>
      </c>
      <c r="G150">
        <v>3.2433000000000001</v>
      </c>
      <c r="H150" t="s">
        <v>52</v>
      </c>
    </row>
    <row r="151" spans="1:8" x14ac:dyDescent="0.3">
      <c r="A151" t="s">
        <v>300</v>
      </c>
      <c r="B151" t="s">
        <v>301</v>
      </c>
      <c r="C151">
        <v>0.10059999999999999</v>
      </c>
      <c r="D151">
        <v>0.88</v>
      </c>
      <c r="E151">
        <v>3.8</v>
      </c>
      <c r="F151">
        <v>5.15</v>
      </c>
      <c r="G151">
        <v>3.2766999999999999</v>
      </c>
      <c r="H151" t="s">
        <v>36</v>
      </c>
    </row>
    <row r="152" spans="1:8" x14ac:dyDescent="0.3">
      <c r="A152" t="s">
        <v>302</v>
      </c>
      <c r="B152" t="s">
        <v>302</v>
      </c>
      <c r="C152">
        <v>5.8650000000000001E-2</v>
      </c>
      <c r="D152">
        <v>0.95</v>
      </c>
      <c r="E152">
        <v>5.87</v>
      </c>
      <c r="F152">
        <v>3.04</v>
      </c>
      <c r="G152">
        <v>3.2867000000000002</v>
      </c>
      <c r="H152" t="s">
        <v>36</v>
      </c>
    </row>
    <row r="153" spans="1:8" x14ac:dyDescent="0.3">
      <c r="A153" t="s">
        <v>303</v>
      </c>
      <c r="B153" t="s">
        <v>304</v>
      </c>
      <c r="C153">
        <v>0.60560000000000003</v>
      </c>
      <c r="D153">
        <v>0.98</v>
      </c>
      <c r="E153">
        <v>3.56</v>
      </c>
      <c r="F153">
        <v>5.44</v>
      </c>
      <c r="G153">
        <v>3.3267000000000002</v>
      </c>
      <c r="H153" t="s">
        <v>10</v>
      </c>
    </row>
    <row r="154" spans="1:8" x14ac:dyDescent="0.3">
      <c r="A154" t="s">
        <v>305</v>
      </c>
      <c r="B154" t="s">
        <v>306</v>
      </c>
      <c r="C154">
        <v>10.68</v>
      </c>
      <c r="D154">
        <v>0.37</v>
      </c>
      <c r="E154">
        <v>3.7</v>
      </c>
      <c r="F154">
        <v>6.34</v>
      </c>
      <c r="G154">
        <v>3.47</v>
      </c>
      <c r="H154" t="s">
        <v>33</v>
      </c>
    </row>
    <row r="155" spans="1:8" x14ac:dyDescent="0.3">
      <c r="A155" t="s">
        <v>307</v>
      </c>
      <c r="B155" t="s">
        <v>308</v>
      </c>
      <c r="C155">
        <v>0.1336</v>
      </c>
      <c r="D155">
        <v>0.46</v>
      </c>
      <c r="E155">
        <v>6.42</v>
      </c>
      <c r="F155">
        <v>3.58</v>
      </c>
      <c r="G155">
        <v>3.4866999999999999</v>
      </c>
      <c r="H155" t="s">
        <v>36</v>
      </c>
    </row>
    <row r="156" spans="1:8" x14ac:dyDescent="0.3">
      <c r="A156" t="s">
        <v>309</v>
      </c>
      <c r="B156" t="s">
        <v>310</v>
      </c>
      <c r="C156">
        <v>0.66249999999999998</v>
      </c>
      <c r="D156">
        <v>0.48</v>
      </c>
      <c r="E156">
        <v>7.03</v>
      </c>
      <c r="F156">
        <v>3.13</v>
      </c>
      <c r="G156">
        <v>3.5467</v>
      </c>
      <c r="H156" t="s">
        <v>10</v>
      </c>
    </row>
    <row r="157" spans="1:8" x14ac:dyDescent="0.3">
      <c r="A157" t="s">
        <v>311</v>
      </c>
      <c r="B157" t="s">
        <v>312</v>
      </c>
      <c r="C157">
        <v>0.15909999999999999</v>
      </c>
      <c r="D157">
        <v>0.53</v>
      </c>
      <c r="E157">
        <v>6.81</v>
      </c>
      <c r="F157">
        <v>3.43</v>
      </c>
      <c r="G157">
        <v>3.59</v>
      </c>
      <c r="H157" t="s">
        <v>36</v>
      </c>
    </row>
    <row r="158" spans="1:8" x14ac:dyDescent="0.3">
      <c r="A158" t="s">
        <v>313</v>
      </c>
      <c r="B158" t="s">
        <v>314</v>
      </c>
      <c r="C158">
        <v>0.50019999999999998</v>
      </c>
      <c r="D158">
        <v>0.82</v>
      </c>
      <c r="E158">
        <v>2.6</v>
      </c>
      <c r="F158">
        <v>7.53</v>
      </c>
      <c r="G158">
        <v>3.65</v>
      </c>
      <c r="H158" t="s">
        <v>10</v>
      </c>
    </row>
    <row r="159" spans="1:8" x14ac:dyDescent="0.3">
      <c r="A159" t="s">
        <v>315</v>
      </c>
      <c r="B159" t="s">
        <v>316</v>
      </c>
      <c r="C159">
        <v>95.62</v>
      </c>
      <c r="D159">
        <v>0.66</v>
      </c>
      <c r="E159">
        <v>2.6</v>
      </c>
      <c r="F159">
        <v>8.09</v>
      </c>
      <c r="G159">
        <v>3.7833000000000001</v>
      </c>
      <c r="H159" t="s">
        <v>73</v>
      </c>
    </row>
    <row r="160" spans="1:8" x14ac:dyDescent="0.3">
      <c r="A160" t="s">
        <v>317</v>
      </c>
      <c r="B160" t="s">
        <v>318</v>
      </c>
      <c r="C160">
        <v>224.21</v>
      </c>
      <c r="D160">
        <v>0.16</v>
      </c>
      <c r="E160">
        <v>5.08</v>
      </c>
      <c r="F160">
        <v>6.13</v>
      </c>
      <c r="G160">
        <v>3.79</v>
      </c>
      <c r="H160" t="s">
        <v>73</v>
      </c>
    </row>
    <row r="161" spans="1:8" x14ac:dyDescent="0.3">
      <c r="A161" t="s">
        <v>319</v>
      </c>
      <c r="B161" t="s">
        <v>320</v>
      </c>
      <c r="C161">
        <v>8.4559999999999996E-2</v>
      </c>
      <c r="D161">
        <v>0.42</v>
      </c>
      <c r="E161">
        <v>1.49</v>
      </c>
      <c r="F161">
        <v>9.64</v>
      </c>
      <c r="G161">
        <v>3.85</v>
      </c>
      <c r="H161" t="s">
        <v>36</v>
      </c>
    </row>
    <row r="162" spans="1:8" x14ac:dyDescent="0.3">
      <c r="A162" t="s">
        <v>321</v>
      </c>
      <c r="B162" t="s">
        <v>322</v>
      </c>
      <c r="C162">
        <v>0.3967</v>
      </c>
      <c r="D162">
        <v>1.55</v>
      </c>
      <c r="E162">
        <v>8.7799999999999994</v>
      </c>
      <c r="F162">
        <v>1.33</v>
      </c>
      <c r="G162">
        <v>3.8866999999999998</v>
      </c>
      <c r="H162" t="s">
        <v>36</v>
      </c>
    </row>
    <row r="163" spans="1:8" x14ac:dyDescent="0.3">
      <c r="A163" t="s">
        <v>323</v>
      </c>
      <c r="B163" t="s">
        <v>324</v>
      </c>
      <c r="C163">
        <v>0.1235</v>
      </c>
      <c r="D163">
        <v>0.27</v>
      </c>
      <c r="E163">
        <v>1.33</v>
      </c>
      <c r="F163">
        <v>10.06</v>
      </c>
      <c r="G163">
        <v>3.8866999999999998</v>
      </c>
      <c r="H163" t="s">
        <v>36</v>
      </c>
    </row>
    <row r="164" spans="1:8" x14ac:dyDescent="0.3">
      <c r="A164" t="s">
        <v>325</v>
      </c>
      <c r="B164" t="s">
        <v>326</v>
      </c>
      <c r="C164">
        <v>8.51</v>
      </c>
      <c r="D164">
        <v>0.34</v>
      </c>
      <c r="E164">
        <v>1.54</v>
      </c>
      <c r="F164">
        <v>9.94</v>
      </c>
      <c r="G164">
        <v>3.94</v>
      </c>
      <c r="H164" t="s">
        <v>33</v>
      </c>
    </row>
    <row r="165" spans="1:8" x14ac:dyDescent="0.3">
      <c r="A165" t="s">
        <v>327</v>
      </c>
      <c r="B165" t="s">
        <v>328</v>
      </c>
      <c r="C165">
        <v>1920.71</v>
      </c>
      <c r="D165">
        <v>0.16</v>
      </c>
      <c r="E165">
        <v>2.34</v>
      </c>
      <c r="F165">
        <v>9.5299999999999994</v>
      </c>
      <c r="G165">
        <v>4.01</v>
      </c>
      <c r="H165" t="s">
        <v>73</v>
      </c>
    </row>
    <row r="166" spans="1:8" x14ac:dyDescent="0.3">
      <c r="A166" t="s">
        <v>329</v>
      </c>
      <c r="B166" t="s">
        <v>330</v>
      </c>
      <c r="C166">
        <v>5.17</v>
      </c>
      <c r="D166">
        <v>0.18</v>
      </c>
      <c r="E166">
        <v>4.5999999999999996</v>
      </c>
      <c r="F166">
        <v>7.68</v>
      </c>
      <c r="G166">
        <v>4.1532999999999998</v>
      </c>
      <c r="H166" t="s">
        <v>33</v>
      </c>
    </row>
    <row r="167" spans="1:8" x14ac:dyDescent="0.3">
      <c r="A167" t="s">
        <v>331</v>
      </c>
      <c r="B167" t="s">
        <v>332</v>
      </c>
      <c r="C167">
        <v>0.18210000000000001</v>
      </c>
      <c r="D167">
        <v>1.31</v>
      </c>
      <c r="E167">
        <v>5.18</v>
      </c>
      <c r="F167">
        <v>5.98</v>
      </c>
      <c r="G167">
        <v>4.1566999999999998</v>
      </c>
      <c r="H167" t="s">
        <v>36</v>
      </c>
    </row>
    <row r="168" spans="1:8" x14ac:dyDescent="0.3">
      <c r="A168" t="s">
        <v>333</v>
      </c>
      <c r="B168" t="s">
        <v>334</v>
      </c>
      <c r="C168">
        <v>1.8200000000000001E-2</v>
      </c>
      <c r="D168">
        <v>0.28000000000000003</v>
      </c>
      <c r="E168">
        <v>1.1000000000000001</v>
      </c>
      <c r="F168">
        <v>11.15</v>
      </c>
      <c r="G168">
        <v>4.1767000000000003</v>
      </c>
      <c r="H168" t="s">
        <v>52</v>
      </c>
    </row>
    <row r="169" spans="1:8" x14ac:dyDescent="0.3">
      <c r="A169" t="s">
        <v>335</v>
      </c>
      <c r="B169" t="s">
        <v>336</v>
      </c>
      <c r="C169">
        <v>1.28</v>
      </c>
      <c r="D169">
        <v>0.09</v>
      </c>
      <c r="E169">
        <v>3.89</v>
      </c>
      <c r="F169">
        <v>8.66</v>
      </c>
      <c r="G169">
        <v>4.2133000000000003</v>
      </c>
      <c r="H169" t="s">
        <v>10</v>
      </c>
    </row>
    <row r="170" spans="1:8" x14ac:dyDescent="0.3">
      <c r="A170" t="s">
        <v>337</v>
      </c>
      <c r="B170" t="s">
        <v>338</v>
      </c>
      <c r="C170">
        <v>0.14960000000000001</v>
      </c>
      <c r="D170">
        <v>1.61</v>
      </c>
      <c r="E170">
        <v>2.59</v>
      </c>
      <c r="F170">
        <v>8.67</v>
      </c>
      <c r="G170">
        <v>4.29</v>
      </c>
      <c r="H170" t="s">
        <v>36</v>
      </c>
    </row>
    <row r="171" spans="1:8" x14ac:dyDescent="0.3">
      <c r="A171" t="s">
        <v>339</v>
      </c>
      <c r="B171" t="s">
        <v>340</v>
      </c>
      <c r="C171">
        <v>0.1507</v>
      </c>
      <c r="D171">
        <v>0.48</v>
      </c>
      <c r="E171">
        <v>1.76</v>
      </c>
      <c r="F171">
        <v>10.71</v>
      </c>
      <c r="G171">
        <v>4.3167</v>
      </c>
      <c r="H171" t="s">
        <v>36</v>
      </c>
    </row>
    <row r="172" spans="1:8" x14ac:dyDescent="0.3">
      <c r="A172" t="s">
        <v>341</v>
      </c>
      <c r="B172" t="s">
        <v>342</v>
      </c>
      <c r="C172">
        <v>5.3643000000000003E-2</v>
      </c>
      <c r="D172">
        <v>0.57999999999999996</v>
      </c>
      <c r="E172">
        <v>3.79</v>
      </c>
      <c r="F172">
        <v>8.8699999999999992</v>
      </c>
      <c r="G172">
        <v>4.4132999999999996</v>
      </c>
      <c r="H172" t="s">
        <v>36</v>
      </c>
    </row>
    <row r="173" spans="1:8" x14ac:dyDescent="0.3">
      <c r="A173" t="s">
        <v>343</v>
      </c>
      <c r="B173" t="s">
        <v>344</v>
      </c>
      <c r="C173">
        <v>0.1206</v>
      </c>
      <c r="D173">
        <v>0.53</v>
      </c>
      <c r="E173">
        <v>0.19</v>
      </c>
      <c r="F173">
        <v>12.63</v>
      </c>
      <c r="G173">
        <v>4.45</v>
      </c>
      <c r="H173" t="s">
        <v>36</v>
      </c>
    </row>
    <row r="174" spans="1:8" x14ac:dyDescent="0.3">
      <c r="A174" t="s">
        <v>345</v>
      </c>
      <c r="B174" t="s">
        <v>345</v>
      </c>
      <c r="C174">
        <v>0.75280000000000002</v>
      </c>
      <c r="D174">
        <v>0.26</v>
      </c>
      <c r="E174">
        <v>3.56</v>
      </c>
      <c r="F174">
        <v>10.15</v>
      </c>
      <c r="G174">
        <v>4.6566999999999998</v>
      </c>
      <c r="H174" t="s">
        <v>10</v>
      </c>
    </row>
    <row r="175" spans="1:8" x14ac:dyDescent="0.3">
      <c r="A175" t="s">
        <v>346</v>
      </c>
      <c r="B175" t="s">
        <v>347</v>
      </c>
      <c r="C175">
        <v>6.3219999999999998E-2</v>
      </c>
      <c r="D175">
        <v>0.13</v>
      </c>
      <c r="E175">
        <v>3.59</v>
      </c>
      <c r="F175">
        <v>11.42</v>
      </c>
      <c r="G175">
        <v>5.0467000000000004</v>
      </c>
      <c r="H175" t="s">
        <v>36</v>
      </c>
    </row>
    <row r="176" spans="1:8" x14ac:dyDescent="0.3">
      <c r="A176" t="s">
        <v>348</v>
      </c>
      <c r="B176" t="s">
        <v>349</v>
      </c>
      <c r="C176">
        <v>2.0400000000000001E-3</v>
      </c>
      <c r="D176">
        <v>0.31</v>
      </c>
      <c r="E176">
        <v>3</v>
      </c>
      <c r="F176">
        <v>12.13</v>
      </c>
      <c r="G176">
        <v>5.1467000000000001</v>
      </c>
      <c r="H176" t="s">
        <v>52</v>
      </c>
    </row>
    <row r="177" spans="1:8" x14ac:dyDescent="0.3">
      <c r="A177" t="s">
        <v>350</v>
      </c>
      <c r="B177" t="s">
        <v>351</v>
      </c>
      <c r="C177">
        <v>0.4299</v>
      </c>
      <c r="D177">
        <v>1.63</v>
      </c>
      <c r="E177">
        <v>8.82</v>
      </c>
      <c r="F177">
        <v>5.19</v>
      </c>
      <c r="G177">
        <v>5.2133000000000003</v>
      </c>
      <c r="H177" t="s">
        <v>36</v>
      </c>
    </row>
    <row r="178" spans="1:8" x14ac:dyDescent="0.3">
      <c r="A178" t="s">
        <v>352</v>
      </c>
      <c r="B178" t="s">
        <v>353</v>
      </c>
      <c r="C178">
        <v>6.4229999999999995E-2</v>
      </c>
      <c r="D178">
        <v>4.17</v>
      </c>
      <c r="E178">
        <v>2.59</v>
      </c>
      <c r="F178">
        <v>9.76</v>
      </c>
      <c r="G178">
        <v>5.5067000000000004</v>
      </c>
      <c r="H178" t="s">
        <v>36</v>
      </c>
    </row>
    <row r="179" spans="1:8" x14ac:dyDescent="0.3">
      <c r="A179" t="s">
        <v>354</v>
      </c>
      <c r="B179" t="s">
        <v>355</v>
      </c>
      <c r="C179">
        <v>0.43669999999999998</v>
      </c>
      <c r="D179">
        <v>0.76</v>
      </c>
      <c r="E179">
        <v>10.06</v>
      </c>
      <c r="F179">
        <v>5.74</v>
      </c>
      <c r="G179">
        <v>5.52</v>
      </c>
      <c r="H179" t="s">
        <v>36</v>
      </c>
    </row>
    <row r="180" spans="1:8" x14ac:dyDescent="0.3">
      <c r="A180" t="s">
        <v>356</v>
      </c>
      <c r="B180" t="s">
        <v>356</v>
      </c>
      <c r="C180">
        <v>0.24030000000000001</v>
      </c>
      <c r="D180">
        <v>0.5</v>
      </c>
      <c r="E180">
        <v>1.82</v>
      </c>
      <c r="F180">
        <v>14.72</v>
      </c>
      <c r="G180">
        <v>5.68</v>
      </c>
      <c r="H180" t="s">
        <v>36</v>
      </c>
    </row>
    <row r="181" spans="1:8" x14ac:dyDescent="0.3">
      <c r="A181" t="s">
        <v>357</v>
      </c>
      <c r="B181" t="s">
        <v>358</v>
      </c>
      <c r="C181">
        <v>0.13969999999999999</v>
      </c>
      <c r="D181">
        <v>1.57</v>
      </c>
      <c r="E181">
        <v>6.01</v>
      </c>
      <c r="F181">
        <v>9.6199999999999992</v>
      </c>
      <c r="G181">
        <v>5.7332999999999998</v>
      </c>
      <c r="H181" t="s">
        <v>36</v>
      </c>
    </row>
    <row r="182" spans="1:8" x14ac:dyDescent="0.3">
      <c r="A182" t="s">
        <v>359</v>
      </c>
      <c r="B182" t="s">
        <v>360</v>
      </c>
      <c r="C182">
        <v>8.5559999999999997E-2</v>
      </c>
      <c r="D182">
        <v>1.01</v>
      </c>
      <c r="E182">
        <v>8.8800000000000008</v>
      </c>
      <c r="F182">
        <v>8.6300000000000008</v>
      </c>
      <c r="G182">
        <v>6.1733000000000002</v>
      </c>
      <c r="H182" t="s">
        <v>36</v>
      </c>
    </row>
    <row r="183" spans="1:8" x14ac:dyDescent="0.3">
      <c r="A183" t="s">
        <v>361</v>
      </c>
      <c r="B183" t="s">
        <v>362</v>
      </c>
      <c r="C183">
        <v>0.81679999999999997</v>
      </c>
      <c r="D183">
        <v>0.01</v>
      </c>
      <c r="E183">
        <v>6.64</v>
      </c>
      <c r="F183">
        <v>11.87</v>
      </c>
      <c r="G183">
        <v>6.1733000000000002</v>
      </c>
      <c r="H183" t="s">
        <v>10</v>
      </c>
    </row>
    <row r="184" spans="1:8" x14ac:dyDescent="0.3">
      <c r="A184" t="s">
        <v>363</v>
      </c>
      <c r="B184" t="s">
        <v>364</v>
      </c>
      <c r="C184">
        <v>0.48959999999999998</v>
      </c>
      <c r="D184">
        <v>0.26</v>
      </c>
      <c r="E184">
        <v>0.15</v>
      </c>
      <c r="F184">
        <v>19.649999999999999</v>
      </c>
      <c r="G184">
        <v>6.6867000000000001</v>
      </c>
      <c r="H184" t="s">
        <v>36</v>
      </c>
    </row>
    <row r="185" spans="1:8" x14ac:dyDescent="0.3">
      <c r="A185" t="s">
        <v>365</v>
      </c>
      <c r="B185" t="s">
        <v>366</v>
      </c>
      <c r="C185">
        <v>2.4500000000000002</v>
      </c>
      <c r="D185">
        <v>1.06</v>
      </c>
      <c r="E185">
        <v>8.18</v>
      </c>
      <c r="F185">
        <v>11.12</v>
      </c>
      <c r="G185">
        <v>6.7866999999999997</v>
      </c>
      <c r="H185" t="s">
        <v>10</v>
      </c>
    </row>
    <row r="186" spans="1:8" x14ac:dyDescent="0.3">
      <c r="A186" t="s">
        <v>367</v>
      </c>
      <c r="B186" t="s">
        <v>368</v>
      </c>
      <c r="C186">
        <v>8.3799999999999999E-4</v>
      </c>
      <c r="D186">
        <v>0.72</v>
      </c>
      <c r="E186">
        <v>3.43</v>
      </c>
      <c r="F186">
        <v>16.86</v>
      </c>
      <c r="G186">
        <v>7.0033000000000003</v>
      </c>
      <c r="H186" t="s">
        <v>52</v>
      </c>
    </row>
    <row r="187" spans="1:8" x14ac:dyDescent="0.3">
      <c r="A187" t="s">
        <v>369</v>
      </c>
      <c r="B187" t="s">
        <v>370</v>
      </c>
      <c r="C187">
        <v>0.62119999999999997</v>
      </c>
      <c r="D187">
        <v>0.01</v>
      </c>
      <c r="E187">
        <v>3.79</v>
      </c>
      <c r="F187">
        <v>17.91</v>
      </c>
      <c r="G187">
        <v>7.2366999999999999</v>
      </c>
      <c r="H187" t="s">
        <v>10</v>
      </c>
    </row>
    <row r="188" spans="1:8" x14ac:dyDescent="0.3">
      <c r="A188" t="s">
        <v>371</v>
      </c>
      <c r="B188" t="s">
        <v>372</v>
      </c>
      <c r="C188">
        <v>5.0709999999999998E-2</v>
      </c>
      <c r="D188">
        <v>1.29</v>
      </c>
      <c r="E188">
        <v>4.0999999999999996</v>
      </c>
      <c r="F188">
        <v>18.170000000000002</v>
      </c>
      <c r="G188">
        <v>7.8532999999999999</v>
      </c>
      <c r="H188" t="s">
        <v>36</v>
      </c>
    </row>
    <row r="189" spans="1:8" x14ac:dyDescent="0.3">
      <c r="A189" t="s">
        <v>373</v>
      </c>
      <c r="B189" t="s">
        <v>374</v>
      </c>
      <c r="C189">
        <v>568.07000000000005</v>
      </c>
      <c r="D189">
        <v>0.33</v>
      </c>
      <c r="E189">
        <v>2.2400000000000002</v>
      </c>
      <c r="F189">
        <v>21.91</v>
      </c>
      <c r="G189">
        <v>8.16</v>
      </c>
      <c r="H189" t="s">
        <v>73</v>
      </c>
    </row>
    <row r="190" spans="1:8" x14ac:dyDescent="0.3">
      <c r="A190" t="s">
        <v>375</v>
      </c>
      <c r="B190" t="s">
        <v>376</v>
      </c>
      <c r="C190">
        <v>0.37140000000000001</v>
      </c>
      <c r="D190">
        <v>0.48</v>
      </c>
      <c r="E190">
        <v>11.52</v>
      </c>
      <c r="F190">
        <v>15.93</v>
      </c>
      <c r="G190">
        <v>9.31</v>
      </c>
      <c r="H190" t="s">
        <v>36</v>
      </c>
    </row>
    <row r="191" spans="1:8" x14ac:dyDescent="0.3">
      <c r="A191" t="s">
        <v>377</v>
      </c>
      <c r="B191" t="s">
        <v>378</v>
      </c>
      <c r="C191">
        <v>36.130000000000003</v>
      </c>
      <c r="D191">
        <v>0.62</v>
      </c>
      <c r="E191">
        <v>3.07</v>
      </c>
      <c r="F191">
        <v>25.01</v>
      </c>
      <c r="G191">
        <v>9.5667000000000009</v>
      </c>
      <c r="H191" t="s">
        <v>33</v>
      </c>
    </row>
    <row r="192" spans="1:8" x14ac:dyDescent="0.3">
      <c r="A192" t="s">
        <v>379</v>
      </c>
      <c r="B192" t="s">
        <v>380</v>
      </c>
      <c r="C192">
        <v>0.1118</v>
      </c>
      <c r="D192">
        <v>0.64</v>
      </c>
      <c r="E192">
        <v>3.44</v>
      </c>
      <c r="F192">
        <v>25.54</v>
      </c>
      <c r="G192">
        <v>9.8733000000000004</v>
      </c>
      <c r="H192" t="s">
        <v>36</v>
      </c>
    </row>
    <row r="193" spans="1:8" x14ac:dyDescent="0.3">
      <c r="A193" t="s">
        <v>381</v>
      </c>
      <c r="B193" t="s">
        <v>382</v>
      </c>
      <c r="C193">
        <v>13.76</v>
      </c>
      <c r="D193">
        <v>0.01</v>
      </c>
      <c r="E193">
        <v>6.32</v>
      </c>
      <c r="F193">
        <v>25.92</v>
      </c>
      <c r="G193">
        <v>10.75</v>
      </c>
      <c r="H193" t="s">
        <v>33</v>
      </c>
    </row>
    <row r="194" spans="1:8" x14ac:dyDescent="0.3">
      <c r="A194" t="s">
        <v>383</v>
      </c>
      <c r="B194" t="s">
        <v>384</v>
      </c>
      <c r="C194">
        <v>0.1993</v>
      </c>
      <c r="D194">
        <v>1.36</v>
      </c>
      <c r="E194">
        <v>4.51</v>
      </c>
      <c r="F194">
        <v>26.5</v>
      </c>
      <c r="G194">
        <v>10.79</v>
      </c>
      <c r="H194" t="s">
        <v>36</v>
      </c>
    </row>
    <row r="195" spans="1:8" x14ac:dyDescent="0.3">
      <c r="A195" t="s">
        <v>385</v>
      </c>
      <c r="B195" t="s">
        <v>386</v>
      </c>
      <c r="C195">
        <v>0.37230000000000002</v>
      </c>
      <c r="D195">
        <v>0.24</v>
      </c>
      <c r="E195">
        <v>15.95</v>
      </c>
      <c r="F195">
        <v>16.64</v>
      </c>
      <c r="G195">
        <v>10.943300000000001</v>
      </c>
      <c r="H195" t="s">
        <v>36</v>
      </c>
    </row>
    <row r="196" spans="1:8" x14ac:dyDescent="0.3">
      <c r="A196" t="s">
        <v>387</v>
      </c>
      <c r="B196" t="s">
        <v>388</v>
      </c>
      <c r="C196">
        <v>5.756E-2</v>
      </c>
      <c r="D196">
        <v>0.14000000000000001</v>
      </c>
      <c r="E196">
        <v>15.94</v>
      </c>
      <c r="F196">
        <v>16.98</v>
      </c>
      <c r="G196">
        <v>11.02</v>
      </c>
      <c r="H196" t="s">
        <v>36</v>
      </c>
    </row>
    <row r="197" spans="1:8" x14ac:dyDescent="0.3">
      <c r="A197" t="s">
        <v>389</v>
      </c>
      <c r="B197" t="s">
        <v>390</v>
      </c>
      <c r="C197">
        <v>0.50290000000000001</v>
      </c>
      <c r="D197">
        <v>1.81</v>
      </c>
      <c r="E197">
        <v>3.29</v>
      </c>
      <c r="F197">
        <v>28.19</v>
      </c>
      <c r="G197">
        <v>11.0967</v>
      </c>
      <c r="H197" t="s">
        <v>10</v>
      </c>
    </row>
    <row r="198" spans="1:8" x14ac:dyDescent="0.3">
      <c r="A198" t="s">
        <v>391</v>
      </c>
      <c r="B198" t="s">
        <v>392</v>
      </c>
      <c r="C198">
        <v>7.6060000000000003E-2</v>
      </c>
      <c r="D198">
        <v>1.39</v>
      </c>
      <c r="E198">
        <v>10.14</v>
      </c>
      <c r="F198">
        <v>25.22</v>
      </c>
      <c r="G198">
        <v>12.25</v>
      </c>
      <c r="H198" t="s">
        <v>36</v>
      </c>
    </row>
    <row r="199" spans="1:8" x14ac:dyDescent="0.3">
      <c r="A199" t="s">
        <v>393</v>
      </c>
      <c r="B199" t="s">
        <v>394</v>
      </c>
      <c r="C199">
        <v>5.6708000000000001E-2</v>
      </c>
      <c r="D199">
        <v>0.56999999999999995</v>
      </c>
      <c r="E199">
        <v>6.98</v>
      </c>
      <c r="F199">
        <v>30.31</v>
      </c>
      <c r="G199">
        <v>12.62</v>
      </c>
      <c r="H199" t="s">
        <v>36</v>
      </c>
    </row>
    <row r="200" spans="1:8" x14ac:dyDescent="0.3">
      <c r="A200" t="s">
        <v>395</v>
      </c>
      <c r="B200" t="s">
        <v>396</v>
      </c>
      <c r="C200">
        <v>5.1785999999999999E-2</v>
      </c>
      <c r="D200">
        <v>0.06</v>
      </c>
      <c r="E200">
        <v>0.1</v>
      </c>
      <c r="F200">
        <v>39.380000000000003</v>
      </c>
      <c r="G200">
        <v>13.18</v>
      </c>
      <c r="H200" t="s">
        <v>36</v>
      </c>
    </row>
    <row r="201" spans="1:8" x14ac:dyDescent="0.3">
      <c r="A201" t="s">
        <v>397</v>
      </c>
      <c r="B201" t="s">
        <v>398</v>
      </c>
      <c r="C201">
        <v>0.3221</v>
      </c>
      <c r="D201">
        <v>7.89</v>
      </c>
      <c r="E201">
        <v>23</v>
      </c>
      <c r="F201">
        <v>17.829999999999998</v>
      </c>
      <c r="G201">
        <v>16.239999999999998</v>
      </c>
      <c r="H201" t="s">
        <v>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0EE0-BDC0-4030-B5B0-EDA7DE2F64BA}">
  <dimension ref="A1:AD59"/>
  <sheetViews>
    <sheetView tabSelected="1" workbookViewId="0">
      <selection activeCell="D3" sqref="D3"/>
    </sheetView>
  </sheetViews>
  <sheetFormatPr defaultRowHeight="14.4" x14ac:dyDescent="0.3"/>
  <cols>
    <col min="1" max="1" width="26.6640625" customWidth="1"/>
    <col min="2" max="2" width="16.21875" customWidth="1"/>
    <col min="3" max="3" width="20.6640625" customWidth="1"/>
    <col min="4" max="4" width="15.5546875" customWidth="1"/>
    <col min="5" max="5" width="17.44140625" bestFit="1" customWidth="1"/>
    <col min="26" max="26" width="23.77734375" bestFit="1" customWidth="1"/>
    <col min="27" max="27" width="18.33203125" bestFit="1" customWidth="1"/>
    <col min="29" max="29" width="18.21875" bestFit="1" customWidth="1"/>
    <col min="30" max="30" width="9.44140625" bestFit="1" customWidth="1"/>
  </cols>
  <sheetData>
    <row r="1" spans="1:30" ht="14.4" customHeight="1" x14ac:dyDescent="0.3">
      <c r="A1" s="22" t="s">
        <v>403</v>
      </c>
      <c r="B1" s="23"/>
      <c r="C1" s="23"/>
      <c r="D1" s="7"/>
      <c r="E1" s="5"/>
      <c r="F1" s="5"/>
      <c r="G1" s="5"/>
      <c r="H1" s="5"/>
      <c r="I1" s="5"/>
      <c r="J1" s="5"/>
      <c r="K1" s="4"/>
    </row>
    <row r="2" spans="1:30" x14ac:dyDescent="0.3">
      <c r="A2" s="23"/>
      <c r="B2" s="23"/>
      <c r="C2" s="23"/>
      <c r="D2" s="7"/>
      <c r="E2" s="5"/>
      <c r="F2" s="5"/>
      <c r="G2" s="5"/>
      <c r="H2" s="5"/>
      <c r="I2" s="5"/>
      <c r="J2" s="5"/>
      <c r="K2" s="4"/>
    </row>
    <row r="3" spans="1:30" x14ac:dyDescent="0.3">
      <c r="A3" s="8"/>
      <c r="B3" s="9"/>
      <c r="C3" s="10"/>
      <c r="D3" s="6"/>
      <c r="E3" s="4"/>
      <c r="F3" s="4"/>
      <c r="G3" s="4"/>
      <c r="H3" s="4"/>
      <c r="I3" s="4"/>
      <c r="J3" s="4"/>
      <c r="K3" s="4"/>
      <c r="Z3" s="1" t="s">
        <v>7</v>
      </c>
      <c r="AA3" t="s">
        <v>10</v>
      </c>
      <c r="AC3" s="1" t="s">
        <v>7</v>
      </c>
      <c r="AD3" t="s">
        <v>10</v>
      </c>
    </row>
    <row r="4" spans="1:30" x14ac:dyDescent="0.3">
      <c r="A4" s="11"/>
      <c r="B4" s="17"/>
      <c r="C4" s="17"/>
      <c r="D4" s="6"/>
      <c r="E4" s="4"/>
      <c r="F4" s="4"/>
      <c r="G4" s="4"/>
      <c r="H4" s="4"/>
      <c r="I4" s="4"/>
      <c r="J4" s="4"/>
      <c r="K4" s="4"/>
    </row>
    <row r="5" spans="1:30" x14ac:dyDescent="0.3">
      <c r="A5" s="11"/>
      <c r="B5" s="18" t="s">
        <v>0</v>
      </c>
      <c r="C5" s="18" t="s">
        <v>1</v>
      </c>
      <c r="D5" s="6"/>
      <c r="E5" s="4"/>
      <c r="F5" s="4"/>
      <c r="G5" s="4"/>
      <c r="H5" s="4"/>
      <c r="I5" s="4"/>
      <c r="J5" s="4"/>
      <c r="K5" s="4"/>
      <c r="Z5" s="1" t="s">
        <v>399</v>
      </c>
      <c r="AA5" t="s">
        <v>400</v>
      </c>
      <c r="AC5" t="s">
        <v>401</v>
      </c>
    </row>
    <row r="6" spans="1:30" x14ac:dyDescent="0.3">
      <c r="A6" s="11"/>
      <c r="B6" s="19" t="str">
        <f>Z6</f>
        <v>Ripple USD</v>
      </c>
      <c r="C6" s="19" t="str">
        <f>_xlfn.XLOOKUP(B6,'Crypto Data'!A:A,'Crypto Data'!B:B)</f>
        <v>RLUSD</v>
      </c>
      <c r="D6" s="6"/>
      <c r="E6" s="4"/>
      <c r="F6" s="4"/>
      <c r="G6" s="4"/>
      <c r="H6" s="4"/>
      <c r="I6" s="4"/>
      <c r="J6" s="4"/>
      <c r="K6" s="4"/>
      <c r="Z6" s="2" t="s">
        <v>11</v>
      </c>
      <c r="AA6" s="3">
        <v>6.7000000000000002E-3</v>
      </c>
      <c r="AC6" s="3">
        <v>54</v>
      </c>
    </row>
    <row r="7" spans="1:30" x14ac:dyDescent="0.3">
      <c r="A7" s="11"/>
      <c r="B7" s="19" t="s">
        <v>2</v>
      </c>
      <c r="C7" s="19" t="s">
        <v>6</v>
      </c>
      <c r="D7" s="6"/>
      <c r="E7" s="4"/>
      <c r="F7" s="4"/>
      <c r="G7" s="4"/>
      <c r="H7" s="4"/>
      <c r="I7" s="4"/>
      <c r="J7" s="4"/>
      <c r="K7" s="4"/>
      <c r="Z7" s="2" t="s">
        <v>8</v>
      </c>
      <c r="AA7" s="3">
        <v>6.7000000000000002E-3</v>
      </c>
    </row>
    <row r="8" spans="1:30" x14ac:dyDescent="0.3">
      <c r="A8" s="11"/>
      <c r="B8" s="19">
        <f>_xlfn.XLOOKUP(B6,'Crypto Data'!A:A,'Crypto Data'!C:C)</f>
        <v>0.99990000000000001</v>
      </c>
      <c r="C8" s="19">
        <f>AA6</f>
        <v>6.7000000000000002E-3</v>
      </c>
      <c r="D8" s="6"/>
      <c r="E8" s="4"/>
      <c r="F8" s="4"/>
      <c r="G8" s="4"/>
      <c r="H8" s="4"/>
      <c r="I8" s="4"/>
      <c r="J8" s="4"/>
      <c r="K8" s="4"/>
      <c r="Z8" s="2" t="s">
        <v>13</v>
      </c>
      <c r="AA8" s="3">
        <v>0.01</v>
      </c>
    </row>
    <row r="9" spans="1:30" x14ac:dyDescent="0.3">
      <c r="A9" s="11"/>
      <c r="B9" s="20" t="s">
        <v>402</v>
      </c>
      <c r="C9" s="21"/>
      <c r="D9" s="6"/>
      <c r="E9" s="4"/>
      <c r="F9" s="4"/>
      <c r="G9" s="4"/>
      <c r="H9" s="4"/>
      <c r="I9" s="4"/>
      <c r="J9" s="4"/>
      <c r="K9" s="4"/>
      <c r="Z9" s="2" t="s">
        <v>16</v>
      </c>
      <c r="AA9" s="3">
        <v>0.01</v>
      </c>
    </row>
    <row r="10" spans="1:30" x14ac:dyDescent="0.3">
      <c r="A10" s="11"/>
      <c r="B10" s="20">
        <f>AC6</f>
        <v>54</v>
      </c>
      <c r="C10" s="21"/>
      <c r="D10" s="6"/>
      <c r="E10" s="4"/>
      <c r="F10" s="4"/>
      <c r="G10" s="4"/>
      <c r="H10" s="4"/>
      <c r="I10" s="4"/>
      <c r="J10" s="4"/>
      <c r="K10" s="4"/>
      <c r="Z10" s="2" t="s">
        <v>15</v>
      </c>
      <c r="AA10" s="3">
        <v>0.01</v>
      </c>
    </row>
    <row r="11" spans="1:30" x14ac:dyDescent="0.3">
      <c r="A11" s="11"/>
      <c r="B11" s="12"/>
      <c r="C11" s="13"/>
      <c r="D11" s="6"/>
      <c r="E11" s="4"/>
      <c r="F11" s="4"/>
      <c r="G11" s="4"/>
      <c r="H11" s="4"/>
      <c r="I11" s="4"/>
      <c r="J11" s="4"/>
      <c r="K11" s="4"/>
      <c r="Z11" s="2" t="s">
        <v>20</v>
      </c>
      <c r="AA11" s="3">
        <v>1.3299999999999999E-2</v>
      </c>
    </row>
    <row r="12" spans="1:30" x14ac:dyDescent="0.3">
      <c r="A12" s="14"/>
      <c r="B12" s="15"/>
      <c r="C12" s="16"/>
      <c r="D12" s="6"/>
      <c r="E12" s="4"/>
      <c r="F12" s="4"/>
      <c r="G12" s="4"/>
      <c r="H12" s="4"/>
      <c r="I12" s="4"/>
      <c r="J12" s="4"/>
      <c r="K12" s="4"/>
      <c r="Z12" s="2" t="s">
        <v>18</v>
      </c>
      <c r="AA12" s="3">
        <v>1.3299999999999999E-2</v>
      </c>
    </row>
    <row r="13" spans="1:30" x14ac:dyDescent="0.3">
      <c r="F13" s="4"/>
      <c r="G13" s="4"/>
      <c r="H13" s="4"/>
      <c r="I13" s="4"/>
      <c r="J13" s="4"/>
      <c r="K13" s="4"/>
      <c r="Z13" s="2" t="s">
        <v>22</v>
      </c>
      <c r="AA13" s="3">
        <v>1.67E-2</v>
      </c>
    </row>
    <row r="14" spans="1:30" x14ac:dyDescent="0.3">
      <c r="F14" s="4"/>
      <c r="G14" s="4"/>
      <c r="H14" s="4"/>
      <c r="I14" s="4"/>
      <c r="J14" s="4"/>
      <c r="K14" s="4"/>
      <c r="Z14" s="2" t="s">
        <v>24</v>
      </c>
      <c r="AA14" s="3">
        <v>0.02</v>
      </c>
    </row>
    <row r="15" spans="1:30" x14ac:dyDescent="0.3">
      <c r="F15" s="4"/>
      <c r="G15" s="4"/>
      <c r="H15" s="4"/>
      <c r="I15" s="4"/>
      <c r="J15" s="4"/>
      <c r="K15" s="4"/>
      <c r="Z15" s="2" t="s">
        <v>26</v>
      </c>
      <c r="AA15" s="3">
        <v>3.6700000000000003E-2</v>
      </c>
    </row>
    <row r="16" spans="1:30" x14ac:dyDescent="0.3">
      <c r="F16" s="4"/>
      <c r="G16" s="4"/>
      <c r="H16" s="4"/>
      <c r="I16" s="4"/>
      <c r="J16" s="4"/>
      <c r="K16" s="4"/>
      <c r="Z16" s="2" t="s">
        <v>28</v>
      </c>
      <c r="AA16" s="3">
        <v>4.6699999999999998E-2</v>
      </c>
    </row>
    <row r="17" spans="1:27" x14ac:dyDescent="0.3">
      <c r="C17" s="4"/>
      <c r="F17" s="4"/>
      <c r="G17" s="4"/>
      <c r="H17" s="4"/>
      <c r="I17" s="4"/>
      <c r="J17" s="4"/>
      <c r="K17" s="4"/>
      <c r="Z17" s="2" t="s">
        <v>30</v>
      </c>
      <c r="AA17" s="3">
        <v>7.6700000000000004E-2</v>
      </c>
    </row>
    <row r="18" spans="1:27" x14ac:dyDescent="0.3">
      <c r="C18" s="4"/>
      <c r="F18" s="4"/>
      <c r="G18" s="4"/>
      <c r="H18" s="4"/>
      <c r="I18" s="4"/>
      <c r="J18" s="4"/>
      <c r="K18" s="4"/>
      <c r="Z18" s="2" t="s">
        <v>37</v>
      </c>
      <c r="AA18" s="3">
        <v>0.24329999999999999</v>
      </c>
    </row>
    <row r="19" spans="1:27" x14ac:dyDescent="0.3">
      <c r="B19" s="4"/>
      <c r="C19" s="4"/>
      <c r="F19" s="4"/>
      <c r="G19" s="4"/>
      <c r="H19" s="4"/>
      <c r="I19" s="4"/>
      <c r="J19" s="4"/>
      <c r="K19" s="4"/>
      <c r="Z19" s="2" t="s">
        <v>42</v>
      </c>
      <c r="AA19" s="3">
        <v>0.2833</v>
      </c>
    </row>
    <row r="20" spans="1:27" x14ac:dyDescent="0.3">
      <c r="A20" s="4"/>
      <c r="B20" s="4"/>
      <c r="C20" s="4"/>
      <c r="D20" s="4"/>
      <c r="E20" s="4"/>
      <c r="F20" s="4"/>
      <c r="G20" s="4"/>
      <c r="H20" s="4"/>
      <c r="I20" s="4"/>
      <c r="J20" s="4"/>
      <c r="K20" s="4"/>
      <c r="Z20" s="2" t="s">
        <v>48</v>
      </c>
      <c r="AA20" s="3">
        <v>0.34329999999999999</v>
      </c>
    </row>
    <row r="21" spans="1:27" x14ac:dyDescent="0.3">
      <c r="A21" s="4"/>
      <c r="B21" s="4"/>
      <c r="C21" s="4"/>
      <c r="D21" s="4"/>
      <c r="E21" s="4"/>
      <c r="F21" s="4"/>
      <c r="G21" s="4"/>
      <c r="H21" s="4"/>
      <c r="I21" s="4"/>
      <c r="J21" s="4"/>
      <c r="K21" s="4"/>
      <c r="Z21" s="2" t="s">
        <v>53</v>
      </c>
      <c r="AA21" s="3">
        <v>0.35670000000000002</v>
      </c>
    </row>
    <row r="22" spans="1:27" x14ac:dyDescent="0.3">
      <c r="A22" s="4"/>
      <c r="B22" s="4"/>
      <c r="C22" s="4"/>
      <c r="D22" s="4"/>
      <c r="E22" s="4"/>
      <c r="F22" s="4"/>
      <c r="G22" s="4"/>
      <c r="H22" s="4"/>
      <c r="I22" s="4"/>
      <c r="J22" s="4"/>
      <c r="K22" s="4"/>
      <c r="Z22" s="2" t="s">
        <v>63</v>
      </c>
      <c r="AA22" s="3">
        <v>0.49669999999999997</v>
      </c>
    </row>
    <row r="23" spans="1:27" x14ac:dyDescent="0.3">
      <c r="A23" s="4"/>
      <c r="B23" s="4"/>
      <c r="C23" s="4"/>
      <c r="D23" s="4"/>
      <c r="E23" s="4"/>
      <c r="F23" s="4"/>
      <c r="G23" s="4"/>
      <c r="H23" s="4"/>
      <c r="I23" s="4"/>
      <c r="J23" s="4"/>
      <c r="K23" s="4"/>
      <c r="Z23" s="2" t="s">
        <v>81</v>
      </c>
      <c r="AA23" s="3">
        <v>0.61670000000000003</v>
      </c>
    </row>
    <row r="24" spans="1:27" x14ac:dyDescent="0.3">
      <c r="A24" s="4"/>
      <c r="B24" s="4"/>
      <c r="C24" s="4"/>
      <c r="D24" s="4"/>
      <c r="E24" s="4"/>
      <c r="F24" s="4"/>
      <c r="G24" s="4"/>
      <c r="H24" s="4"/>
      <c r="I24" s="4"/>
      <c r="J24" s="4"/>
      <c r="K24" s="4"/>
      <c r="Z24" s="2" t="s">
        <v>83</v>
      </c>
      <c r="AA24" s="3">
        <v>0.63</v>
      </c>
    </row>
    <row r="25" spans="1:27" x14ac:dyDescent="0.3">
      <c r="A25" s="4"/>
      <c r="B25" s="4"/>
      <c r="C25" s="4"/>
      <c r="D25" s="4"/>
      <c r="E25" s="4"/>
      <c r="F25" s="4"/>
      <c r="G25" s="4"/>
      <c r="H25" s="4"/>
      <c r="I25" s="4"/>
      <c r="J25" s="4"/>
      <c r="K25" s="4"/>
      <c r="Z25" s="2" t="s">
        <v>89</v>
      </c>
      <c r="AA25" s="3">
        <v>0.64</v>
      </c>
    </row>
    <row r="26" spans="1:27" x14ac:dyDescent="0.3">
      <c r="A26" s="4"/>
      <c r="B26" s="4"/>
      <c r="C26" s="4"/>
      <c r="D26" s="4"/>
      <c r="E26" s="4"/>
      <c r="F26" s="4"/>
      <c r="G26" s="4"/>
      <c r="H26" s="4"/>
      <c r="I26" s="4"/>
      <c r="J26" s="4"/>
      <c r="K26" s="4"/>
      <c r="Z26" s="2" t="s">
        <v>102</v>
      </c>
      <c r="AA26" s="3">
        <v>0.72330000000000005</v>
      </c>
    </row>
    <row r="27" spans="1:27" x14ac:dyDescent="0.3">
      <c r="A27" s="4"/>
      <c r="B27" s="4"/>
      <c r="C27" s="4"/>
      <c r="D27" s="4"/>
      <c r="E27" s="4"/>
      <c r="F27" s="4"/>
      <c r="G27" s="4"/>
      <c r="H27" s="4"/>
      <c r="I27" s="4"/>
      <c r="J27" s="4"/>
      <c r="K27" s="4"/>
      <c r="Z27" s="2" t="s">
        <v>104</v>
      </c>
      <c r="AA27" s="3">
        <v>0.73670000000000002</v>
      </c>
    </row>
    <row r="28" spans="1:27" x14ac:dyDescent="0.3">
      <c r="A28" s="4"/>
      <c r="B28" s="4"/>
      <c r="C28" s="4"/>
      <c r="D28" s="4"/>
      <c r="E28" s="4"/>
      <c r="F28" s="4"/>
      <c r="G28" s="4"/>
      <c r="H28" s="4"/>
      <c r="I28" s="4"/>
      <c r="J28" s="4"/>
      <c r="K28" s="4"/>
      <c r="Z28" s="2" t="s">
        <v>106</v>
      </c>
      <c r="AA28" s="3">
        <v>0.76</v>
      </c>
    </row>
    <row r="29" spans="1:27" x14ac:dyDescent="0.3">
      <c r="A29" s="4"/>
      <c r="B29" s="4"/>
      <c r="C29" s="4"/>
      <c r="D29" s="4"/>
      <c r="E29" s="4"/>
      <c r="F29" s="4"/>
      <c r="G29" s="4"/>
      <c r="H29" s="4"/>
      <c r="I29" s="4"/>
      <c r="J29" s="4"/>
      <c r="K29" s="4"/>
      <c r="Z29" s="2" t="s">
        <v>120</v>
      </c>
      <c r="AA29" s="3">
        <v>0.85670000000000002</v>
      </c>
    </row>
    <row r="30" spans="1:27" x14ac:dyDescent="0.3">
      <c r="A30" s="4"/>
      <c r="B30" s="4"/>
      <c r="C30" s="4"/>
      <c r="D30" s="4"/>
      <c r="E30" s="4"/>
      <c r="F30" s="4"/>
      <c r="G30" s="4"/>
      <c r="H30" s="4"/>
      <c r="I30" s="4"/>
      <c r="J30" s="4"/>
      <c r="K30" s="4"/>
      <c r="Z30" s="2" t="s">
        <v>122</v>
      </c>
      <c r="AA30" s="3">
        <v>0.86</v>
      </c>
    </row>
    <row r="31" spans="1:27" x14ac:dyDescent="0.3">
      <c r="A31" s="4"/>
      <c r="B31" s="4"/>
      <c r="C31" s="4"/>
      <c r="D31" s="4"/>
      <c r="E31" s="4"/>
      <c r="F31" s="4"/>
      <c r="G31" s="4"/>
      <c r="H31" s="4"/>
      <c r="I31" s="4"/>
      <c r="J31" s="4"/>
      <c r="K31" s="4"/>
      <c r="Z31" s="2" t="s">
        <v>130</v>
      </c>
      <c r="AA31" s="3">
        <v>0.88</v>
      </c>
    </row>
    <row r="32" spans="1:27" x14ac:dyDescent="0.3">
      <c r="A32" s="4"/>
      <c r="B32" s="4"/>
      <c r="C32" s="4"/>
      <c r="D32" s="4"/>
      <c r="E32" s="4"/>
      <c r="F32" s="4"/>
      <c r="G32" s="4"/>
      <c r="H32" s="4"/>
      <c r="I32" s="4"/>
      <c r="J32" s="4"/>
      <c r="K32" s="4"/>
      <c r="Z32" s="2" t="s">
        <v>142</v>
      </c>
      <c r="AA32" s="3">
        <v>1.0233000000000001</v>
      </c>
    </row>
    <row r="33" spans="1:27" x14ac:dyDescent="0.3">
      <c r="A33" s="4"/>
      <c r="B33" s="4"/>
      <c r="C33" s="4"/>
      <c r="D33" s="4"/>
      <c r="E33" s="4"/>
      <c r="F33" s="4"/>
      <c r="G33" s="4"/>
      <c r="H33" s="4"/>
      <c r="I33" s="4"/>
      <c r="J33" s="4"/>
      <c r="K33" s="4"/>
      <c r="Z33" s="2" t="s">
        <v>148</v>
      </c>
      <c r="AA33" s="3">
        <v>1.0767</v>
      </c>
    </row>
    <row r="34" spans="1:27" x14ac:dyDescent="0.3">
      <c r="Z34" s="2" t="s">
        <v>152</v>
      </c>
      <c r="AA34" s="3">
        <v>1.0867</v>
      </c>
    </row>
    <row r="35" spans="1:27" x14ac:dyDescent="0.3">
      <c r="Z35" s="2" t="s">
        <v>158</v>
      </c>
      <c r="AA35" s="3">
        <v>1.2</v>
      </c>
    </row>
    <row r="36" spans="1:27" x14ac:dyDescent="0.3">
      <c r="Z36" s="2" t="s">
        <v>176</v>
      </c>
      <c r="AA36" s="3">
        <v>1.33</v>
      </c>
    </row>
    <row r="37" spans="1:27" x14ac:dyDescent="0.3">
      <c r="Z37" s="2" t="s">
        <v>186</v>
      </c>
      <c r="AA37" s="3">
        <v>1.4367000000000001</v>
      </c>
    </row>
    <row r="38" spans="1:27" x14ac:dyDescent="0.3">
      <c r="Z38" s="2" t="s">
        <v>191</v>
      </c>
      <c r="AA38" s="3">
        <v>1.5266999999999999</v>
      </c>
    </row>
    <row r="39" spans="1:27" x14ac:dyDescent="0.3">
      <c r="Z39" s="2" t="s">
        <v>193</v>
      </c>
      <c r="AA39" s="3">
        <v>1.53</v>
      </c>
    </row>
    <row r="40" spans="1:27" x14ac:dyDescent="0.3">
      <c r="Z40" s="2" t="s">
        <v>197</v>
      </c>
      <c r="AA40" s="3">
        <v>1.5467</v>
      </c>
    </row>
    <row r="41" spans="1:27" x14ac:dyDescent="0.3">
      <c r="Z41" s="2" t="s">
        <v>200</v>
      </c>
      <c r="AA41" s="3">
        <v>1.6</v>
      </c>
    </row>
    <row r="42" spans="1:27" x14ac:dyDescent="0.3">
      <c r="Z42" s="2" t="s">
        <v>225</v>
      </c>
      <c r="AA42" s="3">
        <v>1.9</v>
      </c>
    </row>
    <row r="43" spans="1:27" x14ac:dyDescent="0.3">
      <c r="Z43" s="2" t="s">
        <v>235</v>
      </c>
      <c r="AA43" s="3">
        <v>2.1966999999999999</v>
      </c>
    </row>
    <row r="44" spans="1:27" x14ac:dyDescent="0.3">
      <c r="Z44" s="2" t="s">
        <v>243</v>
      </c>
      <c r="AA44" s="3">
        <v>2.2867000000000002</v>
      </c>
    </row>
    <row r="45" spans="1:27" x14ac:dyDescent="0.3">
      <c r="Z45" s="2" t="s">
        <v>253</v>
      </c>
      <c r="AA45" s="3">
        <v>2.4733000000000001</v>
      </c>
    </row>
    <row r="46" spans="1:27" x14ac:dyDescent="0.3">
      <c r="Z46" s="2" t="s">
        <v>257</v>
      </c>
      <c r="AA46" s="3">
        <v>2.5133000000000001</v>
      </c>
    </row>
    <row r="47" spans="1:27" x14ac:dyDescent="0.3">
      <c r="Z47" s="2" t="s">
        <v>262</v>
      </c>
      <c r="AA47" s="3">
        <v>2.5933000000000002</v>
      </c>
    </row>
    <row r="48" spans="1:27" x14ac:dyDescent="0.3">
      <c r="Z48" s="2" t="s">
        <v>264</v>
      </c>
      <c r="AA48" s="3">
        <v>2.5933000000000002</v>
      </c>
    </row>
    <row r="49" spans="26:27" x14ac:dyDescent="0.3">
      <c r="Z49" s="2" t="s">
        <v>290</v>
      </c>
      <c r="AA49" s="3">
        <v>3.04</v>
      </c>
    </row>
    <row r="50" spans="26:27" x14ac:dyDescent="0.3">
      <c r="Z50" s="2" t="s">
        <v>296</v>
      </c>
      <c r="AA50" s="3">
        <v>3.2067000000000001</v>
      </c>
    </row>
    <row r="51" spans="26:27" x14ac:dyDescent="0.3">
      <c r="Z51" s="2" t="s">
        <v>303</v>
      </c>
      <c r="AA51" s="3">
        <v>3.3267000000000002</v>
      </c>
    </row>
    <row r="52" spans="26:27" x14ac:dyDescent="0.3">
      <c r="Z52" s="2" t="s">
        <v>309</v>
      </c>
      <c r="AA52" s="3">
        <v>3.5467</v>
      </c>
    </row>
    <row r="53" spans="26:27" x14ac:dyDescent="0.3">
      <c r="Z53" s="2" t="s">
        <v>313</v>
      </c>
      <c r="AA53" s="3">
        <v>3.65</v>
      </c>
    </row>
    <row r="54" spans="26:27" x14ac:dyDescent="0.3">
      <c r="Z54" s="2" t="s">
        <v>335</v>
      </c>
      <c r="AA54" s="3">
        <v>4.2133000000000003</v>
      </c>
    </row>
    <row r="55" spans="26:27" x14ac:dyDescent="0.3">
      <c r="Z55" s="2" t="s">
        <v>345</v>
      </c>
      <c r="AA55" s="3">
        <v>4.6566999999999998</v>
      </c>
    </row>
    <row r="56" spans="26:27" x14ac:dyDescent="0.3">
      <c r="Z56" s="2" t="s">
        <v>361</v>
      </c>
      <c r="AA56" s="3">
        <v>6.1733000000000002</v>
      </c>
    </row>
    <row r="57" spans="26:27" x14ac:dyDescent="0.3">
      <c r="Z57" s="2" t="s">
        <v>365</v>
      </c>
      <c r="AA57" s="3">
        <v>6.7866999999999997</v>
      </c>
    </row>
    <row r="58" spans="26:27" x14ac:dyDescent="0.3">
      <c r="Z58" s="2" t="s">
        <v>369</v>
      </c>
      <c r="AA58" s="3">
        <v>7.2366999999999999</v>
      </c>
    </row>
    <row r="59" spans="26:27" x14ac:dyDescent="0.3">
      <c r="Z59" s="2" t="s">
        <v>389</v>
      </c>
      <c r="AA59" s="3">
        <v>11.0967</v>
      </c>
    </row>
  </sheetData>
  <mergeCells count="3">
    <mergeCell ref="B10:C10"/>
    <mergeCell ref="A1:C2"/>
    <mergeCell ref="B9:C9"/>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Crypto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24B11DS012</cp:lastModifiedBy>
  <dcterms:created xsi:type="dcterms:W3CDTF">2026-07-16T07:01:58Z</dcterms:created>
  <dcterms:modified xsi:type="dcterms:W3CDTF">2026-07-17T16:55:50Z</dcterms:modified>
</cp:coreProperties>
</file>